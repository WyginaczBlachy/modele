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b6a9f0be765fac/Pulpit/inwestycje/modele/"/>
    </mc:Choice>
  </mc:AlternateContent>
  <xr:revisionPtr revIDLastSave="578" documentId="8_{0F85B6E6-CCD6-4261-9986-6B54C3DE3FFF}" xr6:coauthVersionLast="47" xr6:coauthVersionMax="47" xr10:uidLastSave="{DF9F31B1-04EC-477B-B59A-950D5CC5818D}"/>
  <bookViews>
    <workbookView xWindow="19095" yWindow="0" windowWidth="19410" windowHeight="21705" activeTab="1" xr2:uid="{2B33B323-CEEB-4517-ABFD-E5B52A72B436}"/>
  </bookViews>
  <sheets>
    <sheet name="Main" sheetId="1" r:id="rId1"/>
    <sheet name="Model" sheetId="2" r:id="rId2"/>
    <sheet name="Matrix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" i="2" l="1"/>
  <c r="AI6" i="2"/>
  <c r="AJ6" i="2" s="1"/>
  <c r="AK6" i="2" s="1"/>
  <c r="AL6" i="2" s="1"/>
  <c r="AM6" i="2" s="1"/>
  <c r="AN6" i="2" s="1"/>
  <c r="AO6" i="2" s="1"/>
  <c r="AP6" i="2" s="1"/>
  <c r="AQ6" i="2" s="1"/>
  <c r="AR6" i="2" s="1"/>
  <c r="AE21" i="2"/>
  <c r="AF21" i="2"/>
  <c r="AG21" i="2"/>
  <c r="AH21" i="2"/>
  <c r="AE10" i="2"/>
  <c r="AF10" i="2"/>
  <c r="AG10" i="2"/>
  <c r="AH10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E9" i="2"/>
  <c r="E14" i="2"/>
  <c r="E12" i="2"/>
  <c r="E11" i="2"/>
  <c r="E7" i="2"/>
  <c r="E6" i="2"/>
  <c r="AE6" i="2" s="1"/>
  <c r="B8" i="2"/>
  <c r="B20" i="2" s="1"/>
  <c r="F19" i="2"/>
  <c r="F8" i="2"/>
  <c r="F10" i="2" s="1"/>
  <c r="C8" i="2"/>
  <c r="C20" i="2" s="1"/>
  <c r="G19" i="2"/>
  <c r="G8" i="2"/>
  <c r="G20" i="2" s="1"/>
  <c r="D8" i="2"/>
  <c r="D20" i="2" s="1"/>
  <c r="H19" i="2"/>
  <c r="H8" i="2"/>
  <c r="H10" i="2" s="1"/>
  <c r="J19" i="2"/>
  <c r="J8" i="2"/>
  <c r="J10" i="2" s="1"/>
  <c r="J13" i="2" s="1"/>
  <c r="J15" i="2" s="1"/>
  <c r="J16" i="2" s="1"/>
  <c r="N19" i="2"/>
  <c r="N8" i="2"/>
  <c r="N20" i="2" s="1"/>
  <c r="K19" i="2"/>
  <c r="K8" i="2"/>
  <c r="K10" i="2" s="1"/>
  <c r="K13" i="2" s="1"/>
  <c r="K15" i="2" s="1"/>
  <c r="K16" i="2" s="1"/>
  <c r="O19" i="2"/>
  <c r="O8" i="2"/>
  <c r="O10" i="2" s="1"/>
  <c r="L19" i="2"/>
  <c r="L8" i="2"/>
  <c r="L20" i="2" s="1"/>
  <c r="P19" i="2"/>
  <c r="P8" i="2"/>
  <c r="P10" i="2" s="1"/>
  <c r="M14" i="2"/>
  <c r="Q14" i="2"/>
  <c r="I14" i="2"/>
  <c r="I11" i="2"/>
  <c r="Q12" i="2"/>
  <c r="M12" i="2"/>
  <c r="I12" i="2"/>
  <c r="Q11" i="2"/>
  <c r="M11" i="2"/>
  <c r="Q9" i="2"/>
  <c r="M9" i="2"/>
  <c r="I9" i="2"/>
  <c r="Q7" i="2"/>
  <c r="M7" i="2"/>
  <c r="I7" i="2"/>
  <c r="I6" i="2"/>
  <c r="AF6" i="2" s="1"/>
  <c r="M6" i="2"/>
  <c r="AG6" i="2" s="1"/>
  <c r="Q6" i="2"/>
  <c r="AH6" i="2" s="1"/>
  <c r="I7" i="1"/>
  <c r="I5" i="1"/>
  <c r="I4" i="1"/>
  <c r="K22" i="2" l="1"/>
  <c r="K21" i="2"/>
  <c r="P20" i="2"/>
  <c r="P13" i="2"/>
  <c r="P21" i="2"/>
  <c r="J22" i="2"/>
  <c r="J21" i="2"/>
  <c r="J20" i="2"/>
  <c r="K20" i="2"/>
  <c r="E8" i="2"/>
  <c r="E20" i="2" s="1"/>
  <c r="B10" i="2"/>
  <c r="F21" i="2"/>
  <c r="F13" i="2"/>
  <c r="F20" i="2"/>
  <c r="C10" i="2"/>
  <c r="G10" i="2"/>
  <c r="D10" i="2"/>
  <c r="I8" i="2"/>
  <c r="I20" i="2" s="1"/>
  <c r="H21" i="2"/>
  <c r="H13" i="2"/>
  <c r="M19" i="2"/>
  <c r="H20" i="2"/>
  <c r="I19" i="2"/>
  <c r="N10" i="2"/>
  <c r="O13" i="2"/>
  <c r="O21" i="2"/>
  <c r="O20" i="2"/>
  <c r="M8" i="2"/>
  <c r="M10" i="2" s="1"/>
  <c r="M21" i="2" s="1"/>
  <c r="L10" i="2"/>
  <c r="Q8" i="2"/>
  <c r="Q10" i="2" s="1"/>
  <c r="Q19" i="2"/>
  <c r="E10" i="2" l="1"/>
  <c r="E13" i="2" s="1"/>
  <c r="P15" i="2"/>
  <c r="P16" i="2" s="1"/>
  <c r="P22" i="2"/>
  <c r="E21" i="2"/>
  <c r="B21" i="2"/>
  <c r="B13" i="2"/>
  <c r="F22" i="2"/>
  <c r="F15" i="2"/>
  <c r="F16" i="2" s="1"/>
  <c r="C21" i="2"/>
  <c r="C13" i="2"/>
  <c r="I10" i="2"/>
  <c r="I21" i="2" s="1"/>
  <c r="G21" i="2"/>
  <c r="G13" i="2"/>
  <c r="D21" i="2"/>
  <c r="D13" i="2"/>
  <c r="H22" i="2"/>
  <c r="H15" i="2"/>
  <c r="H16" i="2" s="1"/>
  <c r="Q20" i="2"/>
  <c r="N21" i="2"/>
  <c r="N13" i="2"/>
  <c r="M20" i="2"/>
  <c r="O22" i="2"/>
  <c r="O15" i="2"/>
  <c r="O16" i="2" s="1"/>
  <c r="M13" i="2"/>
  <c r="M22" i="2" s="1"/>
  <c r="L21" i="2"/>
  <c r="L13" i="2"/>
  <c r="Q13" i="2"/>
  <c r="Q21" i="2"/>
  <c r="I13" i="2" l="1"/>
  <c r="E15" i="2"/>
  <c r="E16" i="2" s="1"/>
  <c r="E22" i="2"/>
  <c r="B22" i="2"/>
  <c r="B15" i="2"/>
  <c r="B16" i="2" s="1"/>
  <c r="C22" i="2"/>
  <c r="C15" i="2"/>
  <c r="C16" i="2" s="1"/>
  <c r="G22" i="2"/>
  <c r="G15" i="2"/>
  <c r="G16" i="2" s="1"/>
  <c r="D22" i="2"/>
  <c r="D15" i="2"/>
  <c r="D16" i="2" s="1"/>
  <c r="I15" i="2"/>
  <c r="I16" i="2" s="1"/>
  <c r="I22" i="2"/>
  <c r="N22" i="2"/>
  <c r="N15" i="2"/>
  <c r="N16" i="2" s="1"/>
  <c r="M15" i="2"/>
  <c r="M16" i="2" s="1"/>
  <c r="L22" i="2"/>
  <c r="L15" i="2"/>
  <c r="L16" i="2" s="1"/>
  <c r="Q15" i="2"/>
  <c r="Q16" i="2" s="1"/>
  <c r="Q22" i="2"/>
  <c r="AI10" i="2" l="1"/>
  <c r="AI14" i="2" s="1"/>
  <c r="AJ10" i="2"/>
  <c r="AI15" i="2"/>
  <c r="AK10" i="2" l="1"/>
  <c r="AJ14" i="2"/>
  <c r="AJ15" i="2" s="1"/>
  <c r="AK14" i="2" l="1"/>
  <c r="AK15" i="2" s="1"/>
  <c r="AL10" i="2"/>
  <c r="AL14" i="2" l="1"/>
  <c r="AL15" i="2" s="1"/>
  <c r="AM10" i="2"/>
  <c r="AM14" i="2" l="1"/>
  <c r="AM15" i="2" s="1"/>
  <c r="AN10" i="2"/>
  <c r="AN14" i="2" l="1"/>
  <c r="AN15" i="2" s="1"/>
  <c r="AO10" i="2"/>
  <c r="AO14" i="2" l="1"/>
  <c r="AO15" i="2" s="1"/>
  <c r="AP10" i="2"/>
  <c r="AP14" i="2" l="1"/>
  <c r="AP15" i="2" s="1"/>
  <c r="AQ10" i="2"/>
  <c r="AQ14" i="2" l="1"/>
  <c r="AQ15" i="2" s="1"/>
  <c r="AS6" i="2"/>
  <c r="AR10" i="2"/>
  <c r="AR14" i="2" l="1"/>
  <c r="AR15" i="2" s="1"/>
  <c r="AT6" i="2"/>
  <c r="AS10" i="2"/>
  <c r="AS14" i="2" l="1"/>
  <c r="AS15" i="2" s="1"/>
  <c r="AU6" i="2"/>
  <c r="AT10" i="2"/>
  <c r="AT14" i="2" l="1"/>
  <c r="AT15" i="2"/>
  <c r="AU10" i="2"/>
  <c r="AV6" i="2"/>
  <c r="AW6" i="2" l="1"/>
  <c r="AV10" i="2"/>
  <c r="AU14" i="2"/>
  <c r="AU15" i="2" s="1"/>
  <c r="AV14" i="2" l="1"/>
  <c r="AV15" i="2" s="1"/>
  <c r="AW10" i="2"/>
  <c r="AX6" i="2"/>
  <c r="AW14" i="2" l="1"/>
  <c r="AW15" i="2" s="1"/>
  <c r="AX10" i="2"/>
  <c r="AY6" i="2"/>
  <c r="AY10" i="2" l="1"/>
  <c r="AZ6" i="2"/>
  <c r="AX14" i="2"/>
  <c r="AX15" i="2" s="1"/>
  <c r="AZ10" i="2" l="1"/>
  <c r="BA6" i="2"/>
  <c r="AY14" i="2"/>
  <c r="AY15" i="2" s="1"/>
  <c r="BA10" i="2" l="1"/>
  <c r="BB6" i="2"/>
  <c r="AZ14" i="2"/>
  <c r="AZ15" i="2" s="1"/>
  <c r="BC6" i="2" l="1"/>
  <c r="BB10" i="2"/>
  <c r="BA14" i="2"/>
  <c r="BA15" i="2" s="1"/>
  <c r="BB14" i="2" l="1"/>
  <c r="BB15" i="2" s="1"/>
  <c r="BC10" i="2"/>
  <c r="BD6" i="2"/>
  <c r="BE6" i="2" l="1"/>
  <c r="BD10" i="2"/>
  <c r="BC14" i="2"/>
  <c r="BC15" i="2" s="1"/>
  <c r="BD14" i="2" l="1"/>
  <c r="BD15" i="2" s="1"/>
  <c r="BE10" i="2"/>
  <c r="BF6" i="2"/>
  <c r="BG6" i="2" l="1"/>
  <c r="BF10" i="2"/>
  <c r="BE14" i="2"/>
  <c r="BE15" i="2" s="1"/>
  <c r="BF14" i="2" l="1"/>
  <c r="BF15" i="2" s="1"/>
  <c r="BH6" i="2"/>
  <c r="BG10" i="2"/>
  <c r="BG14" i="2" l="1"/>
  <c r="BG15" i="2" s="1"/>
  <c r="BH10" i="2"/>
  <c r="BI6" i="2"/>
  <c r="BI10" i="2" l="1"/>
  <c r="BJ6" i="2"/>
  <c r="BH14" i="2"/>
  <c r="BH15" i="2" s="1"/>
  <c r="BJ10" i="2" l="1"/>
  <c r="BK6" i="2"/>
  <c r="BI14" i="2"/>
  <c r="BI15" i="2" s="1"/>
  <c r="BK10" i="2" l="1"/>
  <c r="BL6" i="2"/>
  <c r="BJ14" i="2"/>
  <c r="BJ15" i="2" s="1"/>
  <c r="BL10" i="2" l="1"/>
  <c r="BM6" i="2"/>
  <c r="BK14" i="2"/>
  <c r="BK15" i="2" s="1"/>
  <c r="BM10" i="2" l="1"/>
  <c r="BN6" i="2"/>
  <c r="BL14" i="2"/>
  <c r="BL15" i="2" s="1"/>
  <c r="BO6" i="2" l="1"/>
  <c r="BN10" i="2"/>
  <c r="BM14" i="2"/>
  <c r="BM15" i="2" s="1"/>
  <c r="BN14" i="2" l="1"/>
  <c r="BN15" i="2" s="1"/>
  <c r="BP6" i="2"/>
  <c r="BO10" i="2"/>
  <c r="BO14" i="2" l="1"/>
  <c r="BO15" i="2" s="1"/>
  <c r="BQ6" i="2"/>
  <c r="BP10" i="2"/>
  <c r="BP14" i="2" l="1"/>
  <c r="BP15" i="2" s="1"/>
  <c r="BQ10" i="2"/>
  <c r="BR6" i="2"/>
  <c r="BR10" i="2" l="1"/>
  <c r="BS6" i="2"/>
  <c r="BQ14" i="2"/>
  <c r="BQ15" i="2"/>
  <c r="BS10" i="2" l="1"/>
  <c r="BT6" i="2"/>
  <c r="BR14" i="2"/>
  <c r="BR15" i="2" s="1"/>
  <c r="BT10" i="2" l="1"/>
  <c r="BU6" i="2"/>
  <c r="BS14" i="2"/>
  <c r="BS15" i="2" s="1"/>
  <c r="BU10" i="2" l="1"/>
  <c r="BV6" i="2"/>
  <c r="BT14" i="2"/>
  <c r="BT15" i="2" s="1"/>
  <c r="BV10" i="2" l="1"/>
  <c r="BW6" i="2"/>
  <c r="BU14" i="2"/>
  <c r="BU15" i="2" s="1"/>
  <c r="BX6" i="2" l="1"/>
  <c r="BW10" i="2"/>
  <c r="BV14" i="2"/>
  <c r="BV15" i="2" s="1"/>
  <c r="BW14" i="2" l="1"/>
  <c r="BW15" i="2" s="1"/>
  <c r="BX10" i="2"/>
  <c r="BY6" i="2"/>
  <c r="BY10" i="2" l="1"/>
  <c r="BZ6" i="2"/>
  <c r="BX14" i="2"/>
  <c r="BX15" i="2" s="1"/>
  <c r="CA6" i="2" l="1"/>
  <c r="BZ10" i="2"/>
  <c r="BY14" i="2"/>
  <c r="BY15" i="2" s="1"/>
  <c r="BZ14" i="2" l="1"/>
  <c r="BZ15" i="2" s="1"/>
  <c r="CB6" i="2"/>
  <c r="CA10" i="2"/>
  <c r="CA14" i="2" l="1"/>
  <c r="CA15" i="2" s="1"/>
  <c r="CC6" i="2"/>
  <c r="CB10" i="2"/>
  <c r="CB14" i="2" l="1"/>
  <c r="CB15" i="2" s="1"/>
  <c r="CD6" i="2"/>
  <c r="CC10" i="2"/>
  <c r="CC14" i="2" l="1"/>
  <c r="CC15" i="2" s="1"/>
  <c r="CE6" i="2"/>
  <c r="CD10" i="2"/>
  <c r="CD14" i="2" l="1"/>
  <c r="CD15" i="2" s="1"/>
  <c r="CF6" i="2"/>
  <c r="CE10" i="2"/>
  <c r="CE14" i="2" l="1"/>
  <c r="CE15" i="2" s="1"/>
  <c r="CF10" i="2"/>
  <c r="CG6" i="2"/>
  <c r="CH6" i="2" l="1"/>
  <c r="CG10" i="2"/>
  <c r="CF14" i="2"/>
  <c r="CF15" i="2"/>
  <c r="CG14" i="2" l="1"/>
  <c r="CG15" i="2" s="1"/>
  <c r="CH10" i="2"/>
  <c r="CI6" i="2"/>
  <c r="CI10" i="2" l="1"/>
  <c r="CJ6" i="2"/>
  <c r="CH14" i="2"/>
  <c r="CH15" i="2" s="1"/>
  <c r="CK6" i="2" l="1"/>
  <c r="CJ10" i="2"/>
  <c r="CI14" i="2"/>
  <c r="CI15" i="2" s="1"/>
  <c r="CJ14" i="2" l="1"/>
  <c r="CJ15" i="2" s="1"/>
  <c r="CK10" i="2"/>
  <c r="CL6" i="2"/>
  <c r="CM6" i="2" l="1"/>
  <c r="CL10" i="2"/>
  <c r="CK14" i="2"/>
  <c r="CK15" i="2" s="1"/>
  <c r="CL14" i="2" l="1"/>
  <c r="CL15" i="2" s="1"/>
  <c r="CN6" i="2"/>
  <c r="CM10" i="2"/>
  <c r="CM14" i="2" l="1"/>
  <c r="CM15" i="2" s="1"/>
  <c r="CO6" i="2"/>
  <c r="CN10" i="2"/>
  <c r="CN14" i="2" l="1"/>
  <c r="CN15" i="2" s="1"/>
  <c r="CO10" i="2"/>
  <c r="CP6" i="2"/>
  <c r="CP10" i="2" l="1"/>
  <c r="CQ6" i="2"/>
  <c r="CO14" i="2"/>
  <c r="CO15" i="2" s="1"/>
  <c r="CR6" i="2" l="1"/>
  <c r="CQ10" i="2"/>
  <c r="CP14" i="2"/>
  <c r="CP15" i="2" s="1"/>
  <c r="CQ14" i="2" l="1"/>
  <c r="CQ15" i="2" s="1"/>
  <c r="CR10" i="2"/>
  <c r="CS6" i="2"/>
  <c r="CT6" i="2" l="1"/>
  <c r="CS10" i="2"/>
  <c r="CR14" i="2"/>
  <c r="CR15" i="2" s="1"/>
  <c r="CS14" i="2" l="1"/>
  <c r="CS15" i="2" s="1"/>
  <c r="CT10" i="2"/>
  <c r="CU6" i="2"/>
  <c r="CU10" i="2" l="1"/>
  <c r="CV6" i="2"/>
  <c r="CT14" i="2"/>
  <c r="CT15" i="2" s="1"/>
  <c r="CW6" i="2" l="1"/>
  <c r="CV10" i="2"/>
  <c r="CU14" i="2"/>
  <c r="CU15" i="2" s="1"/>
  <c r="CV14" i="2" l="1"/>
  <c r="CV15" i="2" s="1"/>
  <c r="CW10" i="2"/>
  <c r="CX6" i="2"/>
  <c r="CY6" i="2" l="1"/>
  <c r="CX10" i="2"/>
  <c r="CW14" i="2"/>
  <c r="CW15" i="2" s="1"/>
  <c r="CX14" i="2" l="1"/>
  <c r="CX15" i="2" s="1"/>
  <c r="CY10" i="2"/>
  <c r="CZ6" i="2"/>
  <c r="CZ10" i="2" l="1"/>
  <c r="DA6" i="2"/>
  <c r="CY14" i="2"/>
  <c r="CY15" i="2" s="1"/>
  <c r="DA10" i="2" l="1"/>
  <c r="DB6" i="2"/>
  <c r="CZ14" i="2"/>
  <c r="CZ15" i="2" s="1"/>
  <c r="DB10" i="2" l="1"/>
  <c r="DC6" i="2"/>
  <c r="DA14" i="2"/>
  <c r="DA15" i="2" s="1"/>
  <c r="DD6" i="2" l="1"/>
  <c r="DC10" i="2"/>
  <c r="DB14" i="2"/>
  <c r="DB15" i="2" s="1"/>
  <c r="DC14" i="2" l="1"/>
  <c r="DC15" i="2" s="1"/>
  <c r="DE6" i="2"/>
  <c r="DD10" i="2"/>
  <c r="DD14" i="2" l="1"/>
  <c r="DD15" i="2" s="1"/>
  <c r="DF6" i="2"/>
  <c r="DF10" i="2" s="1"/>
  <c r="DE10" i="2"/>
  <c r="DE14" i="2" l="1"/>
  <c r="DE15" i="2"/>
  <c r="DF14" i="2"/>
  <c r="DF15" i="2" s="1"/>
  <c r="AJ25" i="2" s="1"/>
  <c r="AJ26" i="2" s="1"/>
  <c r="AJ27" i="2" s="1"/>
</calcChain>
</file>

<file path=xl/sharedStrings.xml><?xml version="1.0" encoding="utf-8"?>
<sst xmlns="http://schemas.openxmlformats.org/spreadsheetml/2006/main" count="45" uniqueCount="41">
  <si>
    <t>Price</t>
  </si>
  <si>
    <t>Shares</t>
  </si>
  <si>
    <t>MC</t>
  </si>
  <si>
    <t>Cash</t>
  </si>
  <si>
    <t>Debt</t>
  </si>
  <si>
    <t>EV</t>
  </si>
  <si>
    <t>Q424</t>
  </si>
  <si>
    <t>Revenue</t>
  </si>
  <si>
    <t>Q324</t>
  </si>
  <si>
    <t>Q124</t>
  </si>
  <si>
    <t>Q224</t>
  </si>
  <si>
    <t>Q423</t>
  </si>
  <si>
    <t>Q323</t>
  </si>
  <si>
    <t>Q223</t>
  </si>
  <si>
    <t>Q123</t>
  </si>
  <si>
    <t>Q422</t>
  </si>
  <si>
    <t>Q321</t>
  </si>
  <si>
    <t>Q222</t>
  </si>
  <si>
    <t>Q122</t>
  </si>
  <si>
    <t>Q322</t>
  </si>
  <si>
    <t>Q421</t>
  </si>
  <si>
    <t>Q221</t>
  </si>
  <si>
    <t>Q121</t>
  </si>
  <si>
    <t>CoGS</t>
  </si>
  <si>
    <t>Gross Margin</t>
  </si>
  <si>
    <t>Gross Profit</t>
  </si>
  <si>
    <t>SG&amp;A</t>
  </si>
  <si>
    <t>Op Profit</t>
  </si>
  <si>
    <t>Other income</t>
  </si>
  <si>
    <t>Pretax Income</t>
  </si>
  <si>
    <t>Interest Income</t>
  </si>
  <si>
    <t>Taxes</t>
  </si>
  <si>
    <t>Net Income</t>
  </si>
  <si>
    <t>EPS</t>
  </si>
  <si>
    <t>Revenue Y/Y</t>
  </si>
  <si>
    <t>OP Margin</t>
  </si>
  <si>
    <t>Tax rate</t>
  </si>
  <si>
    <t>NPV</t>
  </si>
  <si>
    <t>Discount rate</t>
  </si>
  <si>
    <t>Share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</si>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</sst>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_ ;[Red]\-#,##0.00\ 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NumberFormat="1" applyAlignment="1">
      <alignment horizontal="right"/>
    </xf>
    <xf numFmtId="3" fontId="1" fillId="0" borderId="0" xfId="0" applyNumberFormat="1" applyFont="1"/>
    <xf numFmtId="3" fontId="2" fillId="0" borderId="0" xfId="0" applyNumberFormat="1" applyFont="1"/>
    <xf numFmtId="10" fontId="0" fillId="0" borderId="0" xfId="0" applyNumberFormat="1"/>
    <xf numFmtId="10" fontId="3" fillId="0" borderId="0" xfId="0" applyNumberFormat="1" applyFont="1"/>
    <xf numFmtId="9" fontId="3" fillId="0" borderId="0" xfId="0" applyNumberFormat="1" applyFont="1"/>
    <xf numFmtId="3" fontId="2" fillId="0" borderId="0" xfId="0" applyNumberFormat="1" applyFont="1" applyAlignment="1">
      <alignment horizontal="right"/>
    </xf>
    <xf numFmtId="1" fontId="0" fillId="0" borderId="0" xfId="0" applyNumberFormat="1"/>
    <xf numFmtId="9" fontId="0" fillId="0" borderId="0" xfId="0" applyNumberFormat="1"/>
    <xf numFmtId="16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0</xdr:row>
      <xdr:rowOff>57150</xdr:rowOff>
    </xdr:from>
    <xdr:to>
      <xdr:col>17</xdr:col>
      <xdr:colOff>57150</xdr:colOff>
      <xdr:row>61</xdr:row>
      <xdr:rowOff>114300</xdr:rowOff>
    </xdr:to>
    <xdr:cxnSp macro="">
      <xdr:nvCxnSpPr>
        <xdr:cNvPr id="3" name="Łącznik prosty 2">
          <a:extLst>
            <a:ext uri="{FF2B5EF4-FFF2-40B4-BE49-F238E27FC236}">
              <a16:creationId xmlns:a16="http://schemas.microsoft.com/office/drawing/2014/main" id="{0FCC8734-3F90-46AB-B7BA-E02FD7875824}"/>
            </a:ext>
          </a:extLst>
        </xdr:cNvPr>
        <xdr:cNvCxnSpPr/>
      </xdr:nvCxnSpPr>
      <xdr:spPr>
        <a:xfrm flipH="1">
          <a:off x="12496800" y="57150"/>
          <a:ext cx="9525" cy="11096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605790</xdr:colOff>
      <xdr:row>0</xdr:row>
      <xdr:rowOff>34290</xdr:rowOff>
    </xdr:from>
    <xdr:to>
      <xdr:col>34</xdr:col>
      <xdr:colOff>5715</xdr:colOff>
      <xdr:row>61</xdr:row>
      <xdr:rowOff>95250</xdr:rowOff>
    </xdr:to>
    <xdr:cxnSp macro="">
      <xdr:nvCxnSpPr>
        <xdr:cNvPr id="5" name="Łącznik prosty 4">
          <a:extLst>
            <a:ext uri="{FF2B5EF4-FFF2-40B4-BE49-F238E27FC236}">
              <a16:creationId xmlns:a16="http://schemas.microsoft.com/office/drawing/2014/main" id="{8F1F22F9-F263-4F8F-A97F-B1FED94C5337}"/>
            </a:ext>
          </a:extLst>
        </xdr:cNvPr>
        <xdr:cNvCxnSpPr/>
      </xdr:nvCxnSpPr>
      <xdr:spPr>
        <a:xfrm flipH="1">
          <a:off x="22894290" y="34290"/>
          <a:ext cx="9525" cy="111004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7D1D-61DD-4412-B56F-8C54F59C0F15}">
  <dimension ref="H2:J7"/>
  <sheetViews>
    <sheetView workbookViewId="0">
      <selection activeCell="I7" sqref="I7"/>
    </sheetView>
  </sheetViews>
  <sheetFormatPr defaultRowHeight="14.4" x14ac:dyDescent="0.3"/>
  <sheetData>
    <row r="2" spans="8:10" x14ac:dyDescent="0.3">
      <c r="H2" t="s">
        <v>0</v>
      </c>
      <c r="I2">
        <v>19.02</v>
      </c>
      <c r="J2" t="s">
        <v>6</v>
      </c>
    </row>
    <row r="3" spans="8:10" x14ac:dyDescent="0.3">
      <c r="H3" t="s">
        <v>1</v>
      </c>
      <c r="I3">
        <v>402.36900000000003</v>
      </c>
    </row>
    <row r="4" spans="8:10" x14ac:dyDescent="0.3">
      <c r="H4" t="s">
        <v>2</v>
      </c>
      <c r="I4" s="2">
        <f>I2*I3</f>
        <v>7653.0583800000004</v>
      </c>
    </row>
    <row r="5" spans="8:10" x14ac:dyDescent="0.3">
      <c r="H5" t="s">
        <v>3</v>
      </c>
      <c r="I5">
        <f>690+0</f>
        <v>690</v>
      </c>
    </row>
    <row r="6" spans="8:10" x14ac:dyDescent="0.3">
      <c r="H6" t="s">
        <v>4</v>
      </c>
      <c r="I6">
        <v>994</v>
      </c>
    </row>
    <row r="7" spans="8:10" x14ac:dyDescent="0.3">
      <c r="H7" t="s">
        <v>5</v>
      </c>
      <c r="I7" s="2">
        <f>I4+I6-I5</f>
        <v>7957.0583800000004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F12B-DD9E-4E8E-9697-6AB6DB35C235}">
  <dimension ref="A1:DF27"/>
  <sheetViews>
    <sheetView tabSelected="1" workbookViewId="0">
      <pane xSplit="1" topLeftCell="AC1" activePane="topRight" state="frozen"/>
      <selection pane="topRight" activeCell="AJ26" sqref="AJ26"/>
    </sheetView>
  </sheetViews>
  <sheetFormatPr defaultRowHeight="14.4" x14ac:dyDescent="0.3"/>
  <cols>
    <col min="1" max="1" width="19" customWidth="1"/>
    <col min="2" max="4" width="10.109375" bestFit="1" customWidth="1"/>
    <col min="5" max="5" width="10" bestFit="1" customWidth="1"/>
    <col min="6" max="8" width="10.109375" bestFit="1" customWidth="1"/>
    <col min="9" max="9" width="10.21875" style="2" bestFit="1" customWidth="1"/>
    <col min="10" max="12" width="10.109375" bestFit="1" customWidth="1"/>
    <col min="13" max="13" width="10.21875" style="2" bestFit="1" customWidth="1"/>
    <col min="14" max="15" width="10.109375" bestFit="1" customWidth="1"/>
    <col min="16" max="16" width="10.109375" style="2" bestFit="1" customWidth="1"/>
    <col min="17" max="17" width="10.21875" style="2" bestFit="1" customWidth="1"/>
    <col min="31" max="31" width="10.109375" bestFit="1" customWidth="1"/>
    <col min="36" max="36" width="10.5546875" bestFit="1" customWidth="1"/>
  </cols>
  <sheetData>
    <row r="1" spans="1:110" x14ac:dyDescent="0.3">
      <c r="I1"/>
      <c r="Q1"/>
    </row>
    <row r="2" spans="1:110" x14ac:dyDescent="0.3">
      <c r="I2"/>
      <c r="Q2"/>
    </row>
    <row r="3" spans="1:110" x14ac:dyDescent="0.3">
      <c r="I3"/>
      <c r="Q3"/>
    </row>
    <row r="4" spans="1:110" s="13" customFormat="1" x14ac:dyDescent="0.3">
      <c r="A4" s="5"/>
      <c r="B4" s="5">
        <v>44620</v>
      </c>
      <c r="C4" s="5">
        <v>44346</v>
      </c>
      <c r="D4" s="5">
        <v>44437</v>
      </c>
      <c r="E4" s="5">
        <v>44528</v>
      </c>
      <c r="F4" s="5">
        <v>44619</v>
      </c>
      <c r="G4" s="5">
        <v>44710</v>
      </c>
      <c r="H4" s="5">
        <v>44801</v>
      </c>
      <c r="I4" s="5">
        <v>44892</v>
      </c>
      <c r="J4" s="5">
        <v>44983</v>
      </c>
      <c r="K4" s="5">
        <v>45074</v>
      </c>
      <c r="L4" s="5">
        <v>45165</v>
      </c>
      <c r="M4" s="5">
        <v>45256</v>
      </c>
      <c r="N4" s="5">
        <v>45347</v>
      </c>
      <c r="O4" s="5">
        <v>45438</v>
      </c>
      <c r="P4" s="5">
        <v>45529</v>
      </c>
      <c r="Q4" s="5">
        <v>45627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110" s="4" customFormat="1" x14ac:dyDescent="0.3">
      <c r="B5" s="4" t="s">
        <v>22</v>
      </c>
      <c r="C5" s="4" t="s">
        <v>21</v>
      </c>
      <c r="D5" s="4" t="s">
        <v>16</v>
      </c>
      <c r="E5" s="4" t="s">
        <v>20</v>
      </c>
      <c r="F5" s="4" t="s">
        <v>18</v>
      </c>
      <c r="G5" s="4" t="s">
        <v>17</v>
      </c>
      <c r="H5" s="4" t="s">
        <v>19</v>
      </c>
      <c r="I5" s="4" t="s">
        <v>15</v>
      </c>
      <c r="J5" s="4" t="s">
        <v>14</v>
      </c>
      <c r="K5" s="4" t="s">
        <v>13</v>
      </c>
      <c r="L5" s="4" t="s">
        <v>12</v>
      </c>
      <c r="M5" s="6" t="s">
        <v>11</v>
      </c>
      <c r="N5" s="4" t="s">
        <v>9</v>
      </c>
      <c r="O5" s="4" t="s">
        <v>10</v>
      </c>
      <c r="P5" s="12" t="s">
        <v>8</v>
      </c>
      <c r="Q5" s="4" t="s">
        <v>6</v>
      </c>
      <c r="S5" s="13">
        <v>2009</v>
      </c>
      <c r="T5" s="4">
        <v>2010</v>
      </c>
      <c r="U5" s="13">
        <v>2011</v>
      </c>
      <c r="V5" s="4">
        <v>2012</v>
      </c>
      <c r="W5" s="13">
        <v>2013</v>
      </c>
      <c r="X5" s="4">
        <v>2014</v>
      </c>
      <c r="Y5" s="13">
        <v>2015</v>
      </c>
      <c r="Z5" s="4">
        <v>2016</v>
      </c>
      <c r="AA5" s="13">
        <v>2017</v>
      </c>
      <c r="AB5" s="4">
        <v>2018</v>
      </c>
      <c r="AC5" s="13">
        <v>2019</v>
      </c>
      <c r="AD5" s="4">
        <v>2020</v>
      </c>
      <c r="AE5" s="13">
        <v>2021</v>
      </c>
      <c r="AF5" s="13">
        <v>2022</v>
      </c>
      <c r="AG5" s="13">
        <v>2023</v>
      </c>
      <c r="AH5" s="13">
        <v>2024</v>
      </c>
      <c r="AI5" s="13">
        <v>2025</v>
      </c>
      <c r="AJ5" s="13">
        <v>2026</v>
      </c>
      <c r="AK5" s="13">
        <v>2027</v>
      </c>
      <c r="AL5" s="13">
        <v>2028</v>
      </c>
      <c r="AM5" s="13">
        <v>2029</v>
      </c>
      <c r="AN5" s="13">
        <v>2030</v>
      </c>
      <c r="AO5" s="13">
        <v>2031</v>
      </c>
      <c r="AP5" s="13">
        <v>2032</v>
      </c>
      <c r="AQ5" s="13">
        <v>2033</v>
      </c>
      <c r="AR5" s="13">
        <v>2034</v>
      </c>
      <c r="AS5" s="13">
        <v>2035</v>
      </c>
      <c r="AT5" s="13">
        <v>2036</v>
      </c>
      <c r="AU5" s="13">
        <v>2037</v>
      </c>
      <c r="AV5" s="13">
        <v>2038</v>
      </c>
      <c r="AW5" s="13">
        <v>2039</v>
      </c>
      <c r="AX5" s="13">
        <v>2040</v>
      </c>
      <c r="AY5" s="13">
        <v>2041</v>
      </c>
      <c r="AZ5" s="13">
        <v>2042</v>
      </c>
      <c r="BA5" s="13">
        <v>2043</v>
      </c>
      <c r="BB5" s="13">
        <v>2044</v>
      </c>
      <c r="BC5" s="13">
        <v>2045</v>
      </c>
      <c r="BD5" s="13">
        <v>2046</v>
      </c>
      <c r="BE5" s="13">
        <v>2047</v>
      </c>
      <c r="BF5" s="13">
        <v>2048</v>
      </c>
      <c r="BG5" s="13">
        <v>2049</v>
      </c>
      <c r="BH5" s="13">
        <v>2050</v>
      </c>
      <c r="BI5" s="13">
        <v>2051</v>
      </c>
      <c r="BJ5" s="13">
        <v>2052</v>
      </c>
      <c r="BK5" s="13">
        <v>2053</v>
      </c>
      <c r="BL5" s="13">
        <v>2054</v>
      </c>
      <c r="BM5" s="13">
        <v>2055</v>
      </c>
      <c r="BN5" s="13">
        <v>2056</v>
      </c>
      <c r="BO5" s="13">
        <v>2057</v>
      </c>
      <c r="BP5" s="13">
        <v>2058</v>
      </c>
      <c r="BQ5" s="13">
        <v>2059</v>
      </c>
      <c r="BR5" s="13">
        <v>2060</v>
      </c>
      <c r="BS5" s="13">
        <v>2061</v>
      </c>
      <c r="BT5" s="13">
        <v>2062</v>
      </c>
      <c r="BU5" s="13">
        <v>2063</v>
      </c>
      <c r="BV5" s="13">
        <v>2064</v>
      </c>
      <c r="BW5" s="13">
        <v>2065</v>
      </c>
      <c r="BX5" s="13">
        <v>2066</v>
      </c>
      <c r="BY5" s="13">
        <v>2067</v>
      </c>
      <c r="BZ5" s="13">
        <v>2068</v>
      </c>
      <c r="CA5" s="13">
        <v>2069</v>
      </c>
      <c r="CB5" s="13">
        <v>2070</v>
      </c>
      <c r="CC5" s="13">
        <v>2071</v>
      </c>
      <c r="CD5" s="13">
        <v>2072</v>
      </c>
      <c r="CE5" s="13">
        <v>2073</v>
      </c>
      <c r="CF5" s="13">
        <v>2074</v>
      </c>
      <c r="CG5" s="13">
        <v>2075</v>
      </c>
      <c r="CH5" s="13">
        <v>2076</v>
      </c>
      <c r="CI5" s="13">
        <v>2077</v>
      </c>
      <c r="CJ5" s="13">
        <v>2078</v>
      </c>
      <c r="CK5" s="13">
        <v>2079</v>
      </c>
      <c r="CL5" s="13">
        <v>2080</v>
      </c>
      <c r="CM5" s="13">
        <v>2081</v>
      </c>
      <c r="CN5" s="13">
        <v>2082</v>
      </c>
      <c r="CO5" s="13">
        <v>2083</v>
      </c>
      <c r="CP5" s="13">
        <v>2084</v>
      </c>
      <c r="CQ5" s="13">
        <v>2085</v>
      </c>
      <c r="CR5" s="13">
        <v>2086</v>
      </c>
      <c r="CS5" s="13">
        <v>2087</v>
      </c>
      <c r="CT5" s="13">
        <v>2088</v>
      </c>
      <c r="CU5" s="13">
        <v>2089</v>
      </c>
      <c r="CV5" s="13">
        <v>2090</v>
      </c>
      <c r="CW5" s="13">
        <v>2091</v>
      </c>
      <c r="CX5" s="13">
        <v>2092</v>
      </c>
      <c r="CY5" s="13">
        <v>2093</v>
      </c>
      <c r="CZ5" s="13">
        <v>2094</v>
      </c>
      <c r="DA5" s="13">
        <v>2095</v>
      </c>
      <c r="DB5" s="13">
        <v>2096</v>
      </c>
      <c r="DC5" s="13">
        <v>2097</v>
      </c>
      <c r="DD5" s="13">
        <v>2098</v>
      </c>
      <c r="DE5" s="13">
        <v>2099</v>
      </c>
      <c r="DF5" s="13">
        <v>2100</v>
      </c>
    </row>
    <row r="6" spans="1:110" s="7" customFormat="1" x14ac:dyDescent="0.3">
      <c r="A6" s="3" t="s">
        <v>7</v>
      </c>
      <c r="B6" s="7">
        <v>1305.6020000000001</v>
      </c>
      <c r="C6" s="7">
        <v>1275.971</v>
      </c>
      <c r="D6" s="7">
        <v>1497.5820000000001</v>
      </c>
      <c r="E6" s="7">
        <f>5763.936-D6-C6-B6</f>
        <v>1684.7809999999993</v>
      </c>
      <c r="F6" s="7">
        <v>1591.5619999999999</v>
      </c>
      <c r="G6" s="7">
        <v>1471.1489999999999</v>
      </c>
      <c r="H6" s="7">
        <v>1517.15</v>
      </c>
      <c r="I6" s="7">
        <f>6168.6-H6-G6-F6</f>
        <v>1588.7390000000009</v>
      </c>
      <c r="J6" s="7">
        <v>1688.9</v>
      </c>
      <c r="K6" s="7">
        <v>1336.8</v>
      </c>
      <c r="L6" s="7">
        <v>1511</v>
      </c>
      <c r="M6" s="7">
        <f>6179-L6-K6-J6</f>
        <v>1642.2999999999997</v>
      </c>
      <c r="N6" s="7">
        <v>1557.6</v>
      </c>
      <c r="O6" s="7">
        <v>1441.2</v>
      </c>
      <c r="P6" s="7">
        <v>1516.8</v>
      </c>
      <c r="Q6" s="7">
        <f>6355.3-P6-O6-N6</f>
        <v>1839.7000000000003</v>
      </c>
      <c r="R6" s="3"/>
      <c r="S6" s="7">
        <v>4106</v>
      </c>
      <c r="T6" s="7">
        <v>4411</v>
      </c>
      <c r="U6" s="7">
        <v>4762</v>
      </c>
      <c r="V6" s="7">
        <v>4610</v>
      </c>
      <c r="W6" s="7">
        <v>4682</v>
      </c>
      <c r="X6" s="7">
        <v>4754</v>
      </c>
      <c r="Y6" s="7">
        <v>4494</v>
      </c>
      <c r="Z6" s="7">
        <v>4553</v>
      </c>
      <c r="AA6" s="7">
        <v>4904</v>
      </c>
      <c r="AB6" s="7">
        <v>5575</v>
      </c>
      <c r="AC6" s="7">
        <v>5763</v>
      </c>
      <c r="AD6" s="7">
        <v>4453</v>
      </c>
      <c r="AE6" s="7">
        <f>SUM(B6:E6)</f>
        <v>5763.9359999999997</v>
      </c>
      <c r="AF6" s="7">
        <f>SUM(F6:I6)</f>
        <v>6168.6</v>
      </c>
      <c r="AG6" s="7">
        <f>SUM(J6:M6)</f>
        <v>6179</v>
      </c>
      <c r="AH6" s="7">
        <f>SUM(N6:Q6)</f>
        <v>6355.3000000000011</v>
      </c>
      <c r="AI6" s="7">
        <f>AH6*(1+(AI19))</f>
        <v>6533.2484000000013</v>
      </c>
      <c r="AJ6" s="7">
        <f>AI6*(1+(AJ19))</f>
        <v>6716.1793552000017</v>
      </c>
      <c r="AK6" s="7">
        <f>AJ6*(1+(AK19))</f>
        <v>6904.2323771456022</v>
      </c>
      <c r="AL6" s="7">
        <f>AK6*(1+(AL19))</f>
        <v>7097.5508837056796</v>
      </c>
      <c r="AM6" s="7">
        <f>AL6*(1+(AM19))</f>
        <v>7296.2823084494385</v>
      </c>
      <c r="AN6" s="7">
        <f>AM6*(1+(AN19))</f>
        <v>7500.5782130860225</v>
      </c>
      <c r="AO6" s="7">
        <f>AN6*(1+(AO19))</f>
        <v>7710.5944030524315</v>
      </c>
      <c r="AP6" s="7">
        <f>AO6*(1+(AP19))</f>
        <v>7926.4910463379001</v>
      </c>
      <c r="AQ6" s="7">
        <f>AP6*(1+(AQ19))</f>
        <v>8148.4327956353618</v>
      </c>
      <c r="AR6" s="7">
        <f>AQ6*(1+(AR19))</f>
        <v>8376.5889139131523</v>
      </c>
      <c r="AS6" s="7">
        <f>AR6*1.004</f>
        <v>8410.0952695688047</v>
      </c>
      <c r="AT6" s="7">
        <f>AS6*1.004</f>
        <v>8443.7356506470805</v>
      </c>
      <c r="AU6" s="7">
        <f>AT6*1.004</f>
        <v>8477.5105932496681</v>
      </c>
      <c r="AV6" s="7">
        <f t="shared" ref="AV6:DF6" si="0">AU6*1.004</f>
        <v>8511.4206356226659</v>
      </c>
      <c r="AW6" s="7">
        <f t="shared" si="0"/>
        <v>8545.4663181651558</v>
      </c>
      <c r="AX6" s="7">
        <f t="shared" si="0"/>
        <v>8579.6481834378174</v>
      </c>
      <c r="AY6" s="7">
        <f t="shared" si="0"/>
        <v>8613.9667761715682</v>
      </c>
      <c r="AZ6" s="7">
        <f t="shared" si="0"/>
        <v>8648.4226432762553</v>
      </c>
      <c r="BA6" s="7">
        <f t="shared" si="0"/>
        <v>8683.0163338493603</v>
      </c>
      <c r="BB6" s="7">
        <f t="shared" si="0"/>
        <v>8717.7483991847585</v>
      </c>
      <c r="BC6" s="7">
        <f t="shared" si="0"/>
        <v>8752.6193927814984</v>
      </c>
      <c r="BD6" s="7">
        <f t="shared" si="0"/>
        <v>8787.6298703526245</v>
      </c>
      <c r="BE6" s="7">
        <f t="shared" si="0"/>
        <v>8822.7803898340353</v>
      </c>
      <c r="BF6" s="7">
        <f t="shared" si="0"/>
        <v>8858.0715113933711</v>
      </c>
      <c r="BG6" s="7">
        <f t="shared" si="0"/>
        <v>8893.5037974389452</v>
      </c>
      <c r="BH6" s="7">
        <f t="shared" si="0"/>
        <v>8929.0778126287005</v>
      </c>
      <c r="BI6" s="7">
        <f t="shared" si="0"/>
        <v>8964.7941238792155</v>
      </c>
      <c r="BJ6" s="7">
        <f t="shared" si="0"/>
        <v>9000.6533003747318</v>
      </c>
      <c r="BK6" s="7">
        <f t="shared" si="0"/>
        <v>9036.6559135762309</v>
      </c>
      <c r="BL6" s="7">
        <f t="shared" si="0"/>
        <v>9072.8025372305365</v>
      </c>
      <c r="BM6" s="7">
        <f t="shared" si="0"/>
        <v>9109.0937473794584</v>
      </c>
      <c r="BN6" s="7">
        <f t="shared" si="0"/>
        <v>9145.5301223689767</v>
      </c>
      <c r="BO6" s="7">
        <f t="shared" si="0"/>
        <v>9182.1122428584531</v>
      </c>
      <c r="BP6" s="7">
        <f t="shared" si="0"/>
        <v>9218.8406918298861</v>
      </c>
      <c r="BQ6" s="7">
        <f t="shared" si="0"/>
        <v>9255.7160545972056</v>
      </c>
      <c r="BR6" s="7">
        <f t="shared" si="0"/>
        <v>9292.7389188155939</v>
      </c>
      <c r="BS6" s="7">
        <f t="shared" si="0"/>
        <v>9329.909874490857</v>
      </c>
      <c r="BT6" s="7">
        <f t="shared" si="0"/>
        <v>9367.2295139888211</v>
      </c>
      <c r="BU6" s="7">
        <f t="shared" si="0"/>
        <v>9404.6984320447755</v>
      </c>
      <c r="BV6" s="7">
        <f t="shared" si="0"/>
        <v>9442.3172257729548</v>
      </c>
      <c r="BW6" s="7">
        <f t="shared" si="0"/>
        <v>9480.0864946760466</v>
      </c>
      <c r="BX6" s="7">
        <f t="shared" si="0"/>
        <v>9518.0068406547507</v>
      </c>
      <c r="BY6" s="7">
        <f t="shared" si="0"/>
        <v>9556.07886801737</v>
      </c>
      <c r="BZ6" s="7">
        <f t="shared" si="0"/>
        <v>9594.3031834894391</v>
      </c>
      <c r="CA6" s="7">
        <f t="shared" si="0"/>
        <v>9632.6803962233971</v>
      </c>
      <c r="CB6" s="7">
        <f t="shared" si="0"/>
        <v>9671.2111178082905</v>
      </c>
      <c r="CC6" s="7">
        <f t="shared" si="0"/>
        <v>9709.8959622795246</v>
      </c>
      <c r="CD6" s="7">
        <f t="shared" si="0"/>
        <v>9748.7355461286425</v>
      </c>
      <c r="CE6" s="7">
        <f t="shared" si="0"/>
        <v>9787.7304883131565</v>
      </c>
      <c r="CF6" s="7">
        <f t="shared" si="0"/>
        <v>9826.8814102664091</v>
      </c>
      <c r="CG6" s="7">
        <f t="shared" si="0"/>
        <v>9866.1889359074739</v>
      </c>
      <c r="CH6" s="7">
        <f t="shared" si="0"/>
        <v>9905.6536916511031</v>
      </c>
      <c r="CI6" s="7">
        <f t="shared" si="0"/>
        <v>9945.276306417707</v>
      </c>
      <c r="CJ6" s="7">
        <f t="shared" si="0"/>
        <v>9985.0574116433781</v>
      </c>
      <c r="CK6" s="7">
        <f t="shared" si="0"/>
        <v>10024.997641289952</v>
      </c>
      <c r="CL6" s="7">
        <f t="shared" si="0"/>
        <v>10065.097631855113</v>
      </c>
      <c r="CM6" s="7">
        <f t="shared" si="0"/>
        <v>10105.358022382534</v>
      </c>
      <c r="CN6" s="7">
        <f t="shared" si="0"/>
        <v>10145.779454472064</v>
      </c>
      <c r="CO6" s="7">
        <f t="shared" si="0"/>
        <v>10186.362572289952</v>
      </c>
      <c r="CP6" s="7">
        <f t="shared" si="0"/>
        <v>10227.108022579112</v>
      </c>
      <c r="CQ6" s="7">
        <f t="shared" si="0"/>
        <v>10268.016454669429</v>
      </c>
      <c r="CR6" s="7">
        <f t="shared" si="0"/>
        <v>10309.088520488107</v>
      </c>
      <c r="CS6" s="7">
        <f t="shared" si="0"/>
        <v>10350.32487457006</v>
      </c>
      <c r="CT6" s="7">
        <f t="shared" si="0"/>
        <v>10391.726174068341</v>
      </c>
      <c r="CU6" s="7">
        <f t="shared" si="0"/>
        <v>10433.293078764615</v>
      </c>
      <c r="CV6" s="7">
        <f t="shared" si="0"/>
        <v>10475.026251079673</v>
      </c>
      <c r="CW6" s="7">
        <f t="shared" si="0"/>
        <v>10516.926356083992</v>
      </c>
      <c r="CX6" s="7">
        <f t="shared" si="0"/>
        <v>10558.994061508327</v>
      </c>
      <c r="CY6" s="7">
        <f t="shared" si="0"/>
        <v>10601.23003775436</v>
      </c>
      <c r="CZ6" s="7">
        <f t="shared" si="0"/>
        <v>10643.634957905377</v>
      </c>
      <c r="DA6" s="7">
        <f t="shared" si="0"/>
        <v>10686.209497736998</v>
      </c>
      <c r="DB6" s="7">
        <f t="shared" si="0"/>
        <v>10728.954335727945</v>
      </c>
      <c r="DC6" s="7">
        <f t="shared" si="0"/>
        <v>10771.870153070857</v>
      </c>
      <c r="DD6" s="7">
        <f t="shared" si="0"/>
        <v>10814.95763368314</v>
      </c>
      <c r="DE6" s="7">
        <f t="shared" si="0"/>
        <v>10858.217464217872</v>
      </c>
      <c r="DF6" s="7">
        <f t="shared" si="0"/>
        <v>10901.650334074744</v>
      </c>
    </row>
    <row r="7" spans="1:110" x14ac:dyDescent="0.3">
      <c r="A7" t="s">
        <v>23</v>
      </c>
      <c r="B7" s="2">
        <v>545.57299999999998</v>
      </c>
      <c r="C7" s="2">
        <v>525.77</v>
      </c>
      <c r="D7" s="2">
        <v>635.42700000000002</v>
      </c>
      <c r="E7" s="2">
        <f>2417.225-D7-C7-B7</f>
        <v>710.45499999999981</v>
      </c>
      <c r="F7" s="2">
        <v>647.95399999999995</v>
      </c>
      <c r="G7" s="2">
        <v>616.12599999999998</v>
      </c>
      <c r="H7" s="2">
        <v>654.26900000000001</v>
      </c>
      <c r="I7" s="2">
        <f>2619.8-H7-G7-F7</f>
        <v>701.45100000000025</v>
      </c>
      <c r="J7" s="2">
        <v>746.6</v>
      </c>
      <c r="K7" s="2">
        <v>552.6</v>
      </c>
      <c r="L7" s="2">
        <v>671.5</v>
      </c>
      <c r="M7" s="2">
        <f>2663.3-L7-K7-J7</f>
        <v>692.60000000000025</v>
      </c>
      <c r="N7" s="2">
        <v>651.1</v>
      </c>
      <c r="O7" s="2">
        <v>569.5</v>
      </c>
      <c r="P7" s="2">
        <v>606.1</v>
      </c>
      <c r="Q7" s="2">
        <f>2539.4-P7-O7-N7</f>
        <v>712.70000000000016</v>
      </c>
    </row>
    <row r="8" spans="1:110" x14ac:dyDescent="0.3">
      <c r="A8" t="s">
        <v>25</v>
      </c>
      <c r="B8" s="2">
        <f>B6-B7</f>
        <v>760.02900000000011</v>
      </c>
      <c r="C8" s="2">
        <f>C6-C7</f>
        <v>750.20100000000002</v>
      </c>
      <c r="D8" s="2">
        <f>D6-D7</f>
        <v>862.15500000000009</v>
      </c>
      <c r="E8" s="2">
        <f>E6-E7</f>
        <v>974.32599999999945</v>
      </c>
      <c r="F8" s="2">
        <f>F6-F7</f>
        <v>943.60799999999995</v>
      </c>
      <c r="G8" s="2">
        <f>G6-G7</f>
        <v>855.02299999999991</v>
      </c>
      <c r="H8" s="2">
        <f>H6-H7</f>
        <v>862.88100000000009</v>
      </c>
      <c r="I8" s="2">
        <f>I6-I7</f>
        <v>887.28800000000069</v>
      </c>
      <c r="J8" s="2">
        <f>J6-J7</f>
        <v>942.30000000000007</v>
      </c>
      <c r="K8" s="2">
        <f>K6-K7</f>
        <v>784.19999999999993</v>
      </c>
      <c r="L8" s="2">
        <f>L6-L7</f>
        <v>839.5</v>
      </c>
      <c r="M8" s="2">
        <f>M6-M7</f>
        <v>949.69999999999948</v>
      </c>
      <c r="N8" s="2">
        <f>N6-N7</f>
        <v>906.49999999999989</v>
      </c>
      <c r="O8" s="2">
        <f>O6-O7</f>
        <v>871.7</v>
      </c>
      <c r="P8" s="2">
        <f>P6-P7</f>
        <v>910.69999999999993</v>
      </c>
      <c r="Q8" s="2">
        <f>Q6-Q7</f>
        <v>1127</v>
      </c>
    </row>
    <row r="9" spans="1:110" x14ac:dyDescent="0.3">
      <c r="A9" t="s">
        <v>26</v>
      </c>
      <c r="B9" s="2">
        <v>582.90599999999995</v>
      </c>
      <c r="C9" s="2">
        <v>643.74599999999998</v>
      </c>
      <c r="D9" s="2">
        <v>645.84500000000003</v>
      </c>
      <c r="E9" s="2">
        <f>2652.213-D9-C9-B9</f>
        <v>779.71600000000035</v>
      </c>
      <c r="F9" s="2">
        <v>709.37599999999998</v>
      </c>
      <c r="G9" s="2">
        <v>778.85699999999997</v>
      </c>
      <c r="H9" s="2">
        <v>663.75300000000004</v>
      </c>
      <c r="I9" s="2">
        <f>2881.6-H9-G9-F9</f>
        <v>729.61399999999981</v>
      </c>
      <c r="J9" s="2">
        <v>773.5</v>
      </c>
      <c r="K9" s="2">
        <v>767.8</v>
      </c>
      <c r="L9" s="2">
        <v>713</v>
      </c>
      <c r="M9" s="2">
        <f>3051.9-L9-K9-J9</f>
        <v>797.60000000000014</v>
      </c>
      <c r="N9" s="2">
        <v>794.7</v>
      </c>
      <c r="O9" s="2">
        <v>794.7</v>
      </c>
      <c r="P9" s="2">
        <v>756.6</v>
      </c>
      <c r="Q9" s="2">
        <f>3246.2-P9-O9-N9</f>
        <v>900.19999999999982</v>
      </c>
    </row>
    <row r="10" spans="1:110" x14ac:dyDescent="0.3">
      <c r="A10" t="s">
        <v>27</v>
      </c>
      <c r="B10" s="2">
        <f>B8-B9</f>
        <v>177.12300000000016</v>
      </c>
      <c r="C10" s="2">
        <f>C8-C9</f>
        <v>106.45500000000004</v>
      </c>
      <c r="D10" s="2">
        <f>D8-D9</f>
        <v>216.31000000000006</v>
      </c>
      <c r="E10" s="2">
        <f>E8-E9</f>
        <v>194.6099999999991</v>
      </c>
      <c r="F10" s="2">
        <f>F8-F9</f>
        <v>234.23199999999997</v>
      </c>
      <c r="G10" s="2">
        <f>G8-G9</f>
        <v>76.16599999999994</v>
      </c>
      <c r="H10" s="2">
        <f>H8-H9</f>
        <v>199.12800000000004</v>
      </c>
      <c r="I10" s="2">
        <f>I8-I9</f>
        <v>157.67400000000089</v>
      </c>
      <c r="J10" s="2">
        <f>J8-J9</f>
        <v>168.80000000000007</v>
      </c>
      <c r="K10" s="2">
        <f>K8-K9</f>
        <v>16.399999999999977</v>
      </c>
      <c r="L10" s="2">
        <f>L8-L9</f>
        <v>126.5</v>
      </c>
      <c r="M10" s="2">
        <f>M8-M9</f>
        <v>152.09999999999934</v>
      </c>
      <c r="N10" s="2">
        <f>N8-N9</f>
        <v>111.79999999999984</v>
      </c>
      <c r="O10" s="2">
        <f>O8-O9</f>
        <v>77</v>
      </c>
      <c r="P10" s="2">
        <f>P8-P9</f>
        <v>154.09999999999991</v>
      </c>
      <c r="Q10" s="2">
        <f>Q8-Q9</f>
        <v>226.80000000000018</v>
      </c>
      <c r="AE10" s="8">
        <f>SUM(B10:E10)</f>
        <v>694.49799999999937</v>
      </c>
      <c r="AF10" s="8">
        <f>SUM(F10:I10)</f>
        <v>667.20000000000084</v>
      </c>
      <c r="AG10" s="8">
        <f>SUM(J10:M10)</f>
        <v>463.79999999999939</v>
      </c>
      <c r="AH10" s="8">
        <f>SUM(N10:Q10)</f>
        <v>569.69999999999993</v>
      </c>
      <c r="AI10" s="2">
        <f>AI6*AI21</f>
        <v>653.32484000000022</v>
      </c>
      <c r="AJ10" s="2">
        <f>AJ6*AJ21</f>
        <v>671.61793552000017</v>
      </c>
      <c r="AK10" s="2">
        <f>AK6*AK21</f>
        <v>690.42323771456029</v>
      </c>
      <c r="AL10" s="2">
        <f>AL6*AL21</f>
        <v>709.75508837056805</v>
      </c>
      <c r="AM10" s="2">
        <f>AM6*AM21</f>
        <v>729.62823084494391</v>
      </c>
      <c r="AN10" s="2">
        <f>AN6*AN21</f>
        <v>750.05782130860234</v>
      </c>
      <c r="AO10" s="2">
        <f>AO6*AO21</f>
        <v>771.05944030524324</v>
      </c>
      <c r="AP10" s="2">
        <f>AP6*AP21</f>
        <v>792.6491046337901</v>
      </c>
      <c r="AQ10" s="2">
        <f>AQ6*AQ21</f>
        <v>814.84327956353627</v>
      </c>
      <c r="AR10" s="2">
        <f>AR6*AR21</f>
        <v>837.65889139131525</v>
      </c>
      <c r="AS10" s="2">
        <f>AS6*AS21</f>
        <v>841.00952695688056</v>
      </c>
      <c r="AT10" s="2">
        <f t="shared" ref="AT10:DE10" si="1">AT6*AT21</f>
        <v>844.37356506470815</v>
      </c>
      <c r="AU10" s="2">
        <f t="shared" si="1"/>
        <v>847.75105932496683</v>
      </c>
      <c r="AV10" s="2">
        <f t="shared" si="1"/>
        <v>851.14206356226669</v>
      </c>
      <c r="AW10" s="2">
        <f t="shared" si="1"/>
        <v>854.54663181651563</v>
      </c>
      <c r="AX10" s="2">
        <f t="shared" si="1"/>
        <v>857.96481834378176</v>
      </c>
      <c r="AY10" s="2">
        <f t="shared" si="1"/>
        <v>861.39667761715691</v>
      </c>
      <c r="AZ10" s="2">
        <f t="shared" si="1"/>
        <v>864.84226432762557</v>
      </c>
      <c r="BA10" s="2">
        <f t="shared" si="1"/>
        <v>868.30163338493605</v>
      </c>
      <c r="BB10" s="2">
        <f t="shared" si="1"/>
        <v>871.77483991847589</v>
      </c>
      <c r="BC10" s="2">
        <f t="shared" si="1"/>
        <v>875.26193927814984</v>
      </c>
      <c r="BD10" s="2">
        <f t="shared" si="1"/>
        <v>878.76298703526254</v>
      </c>
      <c r="BE10" s="2">
        <f t="shared" si="1"/>
        <v>882.27803898340358</v>
      </c>
      <c r="BF10" s="2">
        <f t="shared" si="1"/>
        <v>885.80715113933718</v>
      </c>
      <c r="BG10" s="2">
        <f t="shared" si="1"/>
        <v>889.35037974389456</v>
      </c>
      <c r="BH10" s="2">
        <f t="shared" si="1"/>
        <v>892.90778126287012</v>
      </c>
      <c r="BI10" s="2">
        <f t="shared" si="1"/>
        <v>896.47941238792157</v>
      </c>
      <c r="BJ10" s="2">
        <f t="shared" si="1"/>
        <v>900.06533003747325</v>
      </c>
      <c r="BK10" s="2">
        <f t="shared" si="1"/>
        <v>903.66559135762316</v>
      </c>
      <c r="BL10" s="2">
        <f t="shared" si="1"/>
        <v>907.28025372305365</v>
      </c>
      <c r="BM10" s="2">
        <f t="shared" si="1"/>
        <v>910.90937473794588</v>
      </c>
      <c r="BN10" s="2">
        <f t="shared" si="1"/>
        <v>914.55301223689776</v>
      </c>
      <c r="BO10" s="2">
        <f t="shared" si="1"/>
        <v>918.21122428584533</v>
      </c>
      <c r="BP10" s="2">
        <f t="shared" si="1"/>
        <v>921.8840691829887</v>
      </c>
      <c r="BQ10" s="2">
        <f t="shared" si="1"/>
        <v>925.57160545972056</v>
      </c>
      <c r="BR10" s="2">
        <f t="shared" si="1"/>
        <v>929.27389188155939</v>
      </c>
      <c r="BS10" s="2">
        <f t="shared" si="1"/>
        <v>932.99098744908576</v>
      </c>
      <c r="BT10" s="2">
        <f t="shared" si="1"/>
        <v>936.72295139888217</v>
      </c>
      <c r="BU10" s="2">
        <f t="shared" si="1"/>
        <v>940.46984320447757</v>
      </c>
      <c r="BV10" s="2">
        <f t="shared" si="1"/>
        <v>944.2317225772955</v>
      </c>
      <c r="BW10" s="2">
        <f t="shared" si="1"/>
        <v>948.00864946760476</v>
      </c>
      <c r="BX10" s="2">
        <f t="shared" si="1"/>
        <v>951.80068406547514</v>
      </c>
      <c r="BY10" s="2">
        <f t="shared" si="1"/>
        <v>955.6078868017371</v>
      </c>
      <c r="BZ10" s="2">
        <f t="shared" si="1"/>
        <v>959.43031834894396</v>
      </c>
      <c r="CA10" s="2">
        <f t="shared" si="1"/>
        <v>963.26803962233976</v>
      </c>
      <c r="CB10" s="2">
        <f t="shared" si="1"/>
        <v>967.1211117808291</v>
      </c>
      <c r="CC10" s="2">
        <f t="shared" si="1"/>
        <v>970.98959622795246</v>
      </c>
      <c r="CD10" s="2">
        <f t="shared" si="1"/>
        <v>974.87355461286427</v>
      </c>
      <c r="CE10" s="2">
        <f t="shared" si="1"/>
        <v>978.77304883131569</v>
      </c>
      <c r="CF10" s="2">
        <f t="shared" si="1"/>
        <v>982.68814102664101</v>
      </c>
      <c r="CG10" s="2">
        <f t="shared" si="1"/>
        <v>986.61889359074746</v>
      </c>
      <c r="CH10" s="2">
        <f t="shared" si="1"/>
        <v>990.56536916511038</v>
      </c>
      <c r="CI10" s="2">
        <f t="shared" si="1"/>
        <v>994.52763064177077</v>
      </c>
      <c r="CJ10" s="2">
        <f t="shared" si="1"/>
        <v>998.50574116433791</v>
      </c>
      <c r="CK10" s="2">
        <f t="shared" si="1"/>
        <v>1002.4997641289953</v>
      </c>
      <c r="CL10" s="2">
        <f t="shared" si="1"/>
        <v>1006.5097631855114</v>
      </c>
      <c r="CM10" s="2">
        <f t="shared" si="1"/>
        <v>1010.5358022382534</v>
      </c>
      <c r="CN10" s="2">
        <f t="shared" si="1"/>
        <v>1014.5779454472064</v>
      </c>
      <c r="CO10" s="2">
        <f t="shared" si="1"/>
        <v>1018.6362572289953</v>
      </c>
      <c r="CP10" s="2">
        <f t="shared" si="1"/>
        <v>1022.7108022579113</v>
      </c>
      <c r="CQ10" s="2">
        <f t="shared" si="1"/>
        <v>1026.801645466943</v>
      </c>
      <c r="CR10" s="2">
        <f t="shared" si="1"/>
        <v>1030.9088520488108</v>
      </c>
      <c r="CS10" s="2">
        <f t="shared" si="1"/>
        <v>1035.032487457006</v>
      </c>
      <c r="CT10" s="2">
        <f t="shared" si="1"/>
        <v>1039.1726174068342</v>
      </c>
      <c r="CU10" s="2">
        <f t="shared" si="1"/>
        <v>1043.3293078764616</v>
      </c>
      <c r="CV10" s="2">
        <f t="shared" si="1"/>
        <v>1047.5026251079673</v>
      </c>
      <c r="CW10" s="2">
        <f t="shared" si="1"/>
        <v>1051.6926356083993</v>
      </c>
      <c r="CX10" s="2">
        <f t="shared" si="1"/>
        <v>1055.8994061508326</v>
      </c>
      <c r="CY10" s="2">
        <f t="shared" si="1"/>
        <v>1060.123003775436</v>
      </c>
      <c r="CZ10" s="2">
        <f t="shared" si="1"/>
        <v>1064.3634957905376</v>
      </c>
      <c r="DA10" s="2">
        <f t="shared" si="1"/>
        <v>1068.6209497736997</v>
      </c>
      <c r="DB10" s="2">
        <f t="shared" si="1"/>
        <v>1072.8954335727947</v>
      </c>
      <c r="DC10" s="2">
        <f t="shared" si="1"/>
        <v>1077.1870153070856</v>
      </c>
      <c r="DD10" s="2">
        <f t="shared" si="1"/>
        <v>1081.4957633683141</v>
      </c>
      <c r="DE10" s="2">
        <f t="shared" si="1"/>
        <v>1085.8217464217873</v>
      </c>
      <c r="DF10" s="2">
        <f t="shared" ref="DF10" si="2">DF6*DF21</f>
        <v>1090.1650334074745</v>
      </c>
    </row>
    <row r="11" spans="1:110" x14ac:dyDescent="0.3">
      <c r="A11" t="s">
        <v>30</v>
      </c>
      <c r="B11" s="2">
        <v>-23.31</v>
      </c>
      <c r="C11" s="2">
        <v>-19.992999999999999</v>
      </c>
      <c r="D11" s="2">
        <v>-18.117999999999999</v>
      </c>
      <c r="E11" s="2">
        <f>-72.902-D11-C11-B11</f>
        <v>-11.481000000000012</v>
      </c>
      <c r="F11" s="2">
        <v>-4.2480000000000002</v>
      </c>
      <c r="G11" s="2">
        <v>-4.3559999999999999</v>
      </c>
      <c r="H11" s="2">
        <v>-7.6539999999999999</v>
      </c>
      <c r="I11" s="2">
        <f>-25.7-H11-G11-F11</f>
        <v>-9.4420000000000002</v>
      </c>
      <c r="J11" s="2">
        <v>-10.7</v>
      </c>
      <c r="K11" s="2">
        <v>-13.2</v>
      </c>
      <c r="L11" s="2">
        <v>-11.5</v>
      </c>
      <c r="M11" s="2">
        <f>-45.9-L11-K11-J11</f>
        <v>-10.5</v>
      </c>
      <c r="N11" s="2">
        <v>-10</v>
      </c>
      <c r="O11" s="2">
        <v>-10.3</v>
      </c>
      <c r="P11" s="2">
        <v>-10.1</v>
      </c>
      <c r="Q11" s="2">
        <f>-41.8-P11-O11-N11</f>
        <v>-11.399999999999995</v>
      </c>
    </row>
    <row r="12" spans="1:110" x14ac:dyDescent="0.3">
      <c r="A12" t="s">
        <v>28</v>
      </c>
      <c r="B12" s="2">
        <v>0.85799999999999998</v>
      </c>
      <c r="C12" s="2">
        <v>-0.71499999999999997</v>
      </c>
      <c r="D12" s="2">
        <v>4.8470000000000004</v>
      </c>
      <c r="E12" s="2">
        <f>3.452-D12-C12-B12</f>
        <v>-1.5380000000000005</v>
      </c>
      <c r="F12" s="2">
        <v>15.897</v>
      </c>
      <c r="G12" s="2">
        <v>6.0039999999999996</v>
      </c>
      <c r="H12" s="2">
        <v>-5.1779999999999999</v>
      </c>
      <c r="I12" s="2">
        <f>28.8-H12-G12-F12</f>
        <v>12.077000000000004</v>
      </c>
      <c r="J12" s="2">
        <v>-7.5</v>
      </c>
      <c r="K12" s="2">
        <v>-3.9</v>
      </c>
      <c r="L12" s="2">
        <v>-26.7</v>
      </c>
      <c r="M12" s="2">
        <f>-42.2-L12-K12-J12</f>
        <v>-4.1000000000000032</v>
      </c>
      <c r="N12" s="2">
        <v>-2.2999999999999998</v>
      </c>
      <c r="O12" s="2">
        <v>0.4</v>
      </c>
      <c r="P12" s="2">
        <v>-0.4</v>
      </c>
      <c r="Q12" s="2">
        <f>-3.3-P12-O12-N12</f>
        <v>-1</v>
      </c>
    </row>
    <row r="13" spans="1:110" x14ac:dyDescent="0.3">
      <c r="A13" t="s">
        <v>29</v>
      </c>
      <c r="B13" s="2">
        <f>B10+B12+B11</f>
        <v>154.67100000000016</v>
      </c>
      <c r="C13" s="2">
        <f>C10+C12+C11</f>
        <v>85.747000000000043</v>
      </c>
      <c r="D13" s="2">
        <f>D10+D12+D11</f>
        <v>203.03900000000007</v>
      </c>
      <c r="E13" s="2">
        <f>E10+E12+E11</f>
        <v>181.59099999999907</v>
      </c>
      <c r="F13" s="2">
        <f>F10+F12+F11</f>
        <v>245.88099999999997</v>
      </c>
      <c r="G13" s="2">
        <f>G10+G12+G11</f>
        <v>77.81399999999995</v>
      </c>
      <c r="H13" s="2">
        <f>H10+H12+H11</f>
        <v>186.29600000000005</v>
      </c>
      <c r="I13" s="2">
        <f>I10+I12+I11</f>
        <v>160.30900000000088</v>
      </c>
      <c r="J13" s="2">
        <f>J10+J12+J11</f>
        <v>150.60000000000008</v>
      </c>
      <c r="K13" s="2">
        <f>K10+K12+K11</f>
        <v>-0.70000000000002238</v>
      </c>
      <c r="L13" s="2">
        <f>L10+L12+L11</f>
        <v>88.3</v>
      </c>
      <c r="M13" s="2">
        <f>M10+M12+M11</f>
        <v>137.49999999999935</v>
      </c>
      <c r="N13" s="2">
        <f>N10+N12+N11</f>
        <v>99.499999999999844</v>
      </c>
      <c r="O13" s="2">
        <f>O10+O12+O11</f>
        <v>67.100000000000009</v>
      </c>
      <c r="P13" s="2">
        <f>P10+P12+P11</f>
        <v>143.59999999999991</v>
      </c>
      <c r="Q13" s="2">
        <f>Q10+Q12+Q11</f>
        <v>214.40000000000018</v>
      </c>
    </row>
    <row r="14" spans="1:110" x14ac:dyDescent="0.3">
      <c r="A14" t="s">
        <v>31</v>
      </c>
      <c r="B14" s="2">
        <v>12.167</v>
      </c>
      <c r="C14" s="2">
        <v>-9.02</v>
      </c>
      <c r="D14" s="2">
        <v>9.7059999999999995</v>
      </c>
      <c r="E14" s="2">
        <f>26.669-D14-B14-C14</f>
        <v>13.816000000000001</v>
      </c>
      <c r="F14" s="2">
        <v>50.037999999999997</v>
      </c>
      <c r="G14" s="2">
        <v>28.068000000000001</v>
      </c>
      <c r="H14" s="2">
        <v>13.339</v>
      </c>
      <c r="I14" s="2">
        <f>80.5-H14-F14-G14</f>
        <v>-10.944999999999997</v>
      </c>
      <c r="J14" s="2">
        <v>24.5</v>
      </c>
      <c r="K14" s="2">
        <v>-5.6</v>
      </c>
      <c r="L14" s="2">
        <v>-3.4</v>
      </c>
      <c r="M14" s="2">
        <f>15.6-L14-J14-K14</f>
        <v>9.9999999999999645E-2</v>
      </c>
      <c r="N14" s="2">
        <v>-2.1</v>
      </c>
      <c r="O14" s="2">
        <v>-0.9</v>
      </c>
      <c r="P14" s="2">
        <v>-0.9</v>
      </c>
      <c r="Q14" s="2">
        <f>8.4-P14-N14-O14</f>
        <v>12.3</v>
      </c>
      <c r="AI14" s="2">
        <f>0.14*AI10</f>
        <v>91.465477600000042</v>
      </c>
      <c r="AJ14" s="2">
        <f>0.14*AJ10</f>
        <v>94.02651097280004</v>
      </c>
      <c r="AK14" s="2">
        <f>0.14*AK10</f>
        <v>96.659253280038456</v>
      </c>
      <c r="AL14" s="2">
        <f>0.14*AL10</f>
        <v>99.365712371879539</v>
      </c>
      <c r="AM14" s="2">
        <f>0.14*AM10</f>
        <v>102.14795231829216</v>
      </c>
      <c r="AN14" s="2">
        <f>0.14*AN10</f>
        <v>105.00809498320434</v>
      </c>
      <c r="AO14" s="2">
        <f>0.14*AO10</f>
        <v>107.94832164273406</v>
      </c>
      <c r="AP14" s="2">
        <f>0.14*AP10</f>
        <v>110.97087464873063</v>
      </c>
      <c r="AQ14" s="2">
        <f>0.14*AQ10</f>
        <v>114.07805913889509</v>
      </c>
      <c r="AR14" s="2">
        <f>0.14*AR10</f>
        <v>117.27224479478414</v>
      </c>
      <c r="AS14" s="2">
        <f>0.14*AS10</f>
        <v>117.74133377396329</v>
      </c>
      <c r="AT14" s="2">
        <f>0.14*AT10</f>
        <v>118.21229910905915</v>
      </c>
      <c r="AU14" s="2">
        <f t="shared" ref="AU14:DF14" si="3">0.14*AU10</f>
        <v>118.68514830549537</v>
      </c>
      <c r="AV14" s="2">
        <f t="shared" si="3"/>
        <v>119.15988889871734</v>
      </c>
      <c r="AW14" s="2">
        <f t="shared" si="3"/>
        <v>119.6365284543122</v>
      </c>
      <c r="AX14" s="2">
        <f t="shared" si="3"/>
        <v>120.11507456812946</v>
      </c>
      <c r="AY14" s="2">
        <f t="shared" si="3"/>
        <v>120.59553486640198</v>
      </c>
      <c r="AZ14" s="2">
        <f t="shared" si="3"/>
        <v>121.07791700586759</v>
      </c>
      <c r="BA14" s="2">
        <f t="shared" si="3"/>
        <v>121.56222867389106</v>
      </c>
      <c r="BB14" s="2">
        <f t="shared" si="3"/>
        <v>122.04847758858664</v>
      </c>
      <c r="BC14" s="2">
        <f t="shared" si="3"/>
        <v>122.53667149894099</v>
      </c>
      <c r="BD14" s="2">
        <f t="shared" si="3"/>
        <v>123.02681818493677</v>
      </c>
      <c r="BE14" s="2">
        <f t="shared" si="3"/>
        <v>123.51892545767652</v>
      </c>
      <c r="BF14" s="2">
        <f t="shared" si="3"/>
        <v>124.01300115950721</v>
      </c>
      <c r="BG14" s="2">
        <f t="shared" si="3"/>
        <v>124.50905316414526</v>
      </c>
      <c r="BH14" s="2">
        <f t="shared" si="3"/>
        <v>125.00708937680183</v>
      </c>
      <c r="BI14" s="2">
        <f t="shared" si="3"/>
        <v>125.50711773430903</v>
      </c>
      <c r="BJ14" s="2">
        <f t="shared" si="3"/>
        <v>126.00914620524627</v>
      </c>
      <c r="BK14" s="2">
        <f t="shared" si="3"/>
        <v>126.51318279006725</v>
      </c>
      <c r="BL14" s="2">
        <f t="shared" si="3"/>
        <v>127.01923552122753</v>
      </c>
      <c r="BM14" s="2">
        <f t="shared" si="3"/>
        <v>127.52731246331244</v>
      </c>
      <c r="BN14" s="2">
        <f t="shared" si="3"/>
        <v>128.03742171316568</v>
      </c>
      <c r="BO14" s="2">
        <f t="shared" si="3"/>
        <v>128.54957140001835</v>
      </c>
      <c r="BP14" s="2">
        <f t="shared" si="3"/>
        <v>129.06376968561844</v>
      </c>
      <c r="BQ14" s="2">
        <f t="shared" si="3"/>
        <v>129.5800247643609</v>
      </c>
      <c r="BR14" s="2">
        <f t="shared" si="3"/>
        <v>130.09834486341833</v>
      </c>
      <c r="BS14" s="2">
        <f t="shared" si="3"/>
        <v>130.61873824287201</v>
      </c>
      <c r="BT14" s="2">
        <f t="shared" si="3"/>
        <v>131.14121319584351</v>
      </c>
      <c r="BU14" s="2">
        <f t="shared" si="3"/>
        <v>131.66577804862686</v>
      </c>
      <c r="BV14" s="2">
        <f t="shared" si="3"/>
        <v>132.19244116082137</v>
      </c>
      <c r="BW14" s="2">
        <f t="shared" si="3"/>
        <v>132.72121092546467</v>
      </c>
      <c r="BX14" s="2">
        <f t="shared" si="3"/>
        <v>133.25209576916654</v>
      </c>
      <c r="BY14" s="2">
        <f t="shared" si="3"/>
        <v>133.78510415224321</v>
      </c>
      <c r="BZ14" s="2">
        <f t="shared" si="3"/>
        <v>134.32024456885216</v>
      </c>
      <c r="CA14" s="2">
        <f t="shared" si="3"/>
        <v>134.85752554712758</v>
      </c>
      <c r="CB14" s="2">
        <f t="shared" si="3"/>
        <v>135.39695564931608</v>
      </c>
      <c r="CC14" s="2">
        <f t="shared" si="3"/>
        <v>135.93854347191336</v>
      </c>
      <c r="CD14" s="2">
        <f t="shared" si="3"/>
        <v>136.482297645801</v>
      </c>
      <c r="CE14" s="2">
        <f t="shared" si="3"/>
        <v>137.02822683638422</v>
      </c>
      <c r="CF14" s="2">
        <f t="shared" si="3"/>
        <v>137.57633974372976</v>
      </c>
      <c r="CG14" s="2">
        <f t="shared" si="3"/>
        <v>138.12664510270466</v>
      </c>
      <c r="CH14" s="2">
        <f t="shared" si="3"/>
        <v>138.67915168311546</v>
      </c>
      <c r="CI14" s="2">
        <f t="shared" si="3"/>
        <v>139.23386828984792</v>
      </c>
      <c r="CJ14" s="2">
        <f t="shared" si="3"/>
        <v>139.79080376300732</v>
      </c>
      <c r="CK14" s="2">
        <f t="shared" si="3"/>
        <v>140.34996697805934</v>
      </c>
      <c r="CL14" s="2">
        <f t="shared" si="3"/>
        <v>140.9113668459716</v>
      </c>
      <c r="CM14" s="2">
        <f t="shared" si="3"/>
        <v>141.47501231335548</v>
      </c>
      <c r="CN14" s="2">
        <f t="shared" si="3"/>
        <v>142.04091236260891</v>
      </c>
      <c r="CO14" s="2">
        <f t="shared" si="3"/>
        <v>142.60907601205935</v>
      </c>
      <c r="CP14" s="2">
        <f t="shared" si="3"/>
        <v>143.1795123161076</v>
      </c>
      <c r="CQ14" s="2">
        <f t="shared" si="3"/>
        <v>143.75223036537204</v>
      </c>
      <c r="CR14" s="2">
        <f t="shared" si="3"/>
        <v>144.32723928683353</v>
      </c>
      <c r="CS14" s="2">
        <f t="shared" si="3"/>
        <v>144.90454824398086</v>
      </c>
      <c r="CT14" s="2">
        <f t="shared" si="3"/>
        <v>145.4841664369568</v>
      </c>
      <c r="CU14" s="2">
        <f t="shared" si="3"/>
        <v>146.06610310270463</v>
      </c>
      <c r="CV14" s="2">
        <f t="shared" si="3"/>
        <v>146.65036751511545</v>
      </c>
      <c r="CW14" s="2">
        <f t="shared" si="3"/>
        <v>147.23696898517591</v>
      </c>
      <c r="CX14" s="2">
        <f t="shared" si="3"/>
        <v>147.82591686111658</v>
      </c>
      <c r="CY14" s="2">
        <f t="shared" si="3"/>
        <v>148.41722052856105</v>
      </c>
      <c r="CZ14" s="2">
        <f t="shared" si="3"/>
        <v>149.01088941067528</v>
      </c>
      <c r="DA14" s="2">
        <f t="shared" si="3"/>
        <v>149.60693296831798</v>
      </c>
      <c r="DB14" s="2">
        <f t="shared" si="3"/>
        <v>150.20536070019128</v>
      </c>
      <c r="DC14" s="2">
        <f t="shared" si="3"/>
        <v>150.80618214299201</v>
      </c>
      <c r="DD14" s="2">
        <f t="shared" si="3"/>
        <v>151.40940687156399</v>
      </c>
      <c r="DE14" s="2">
        <f t="shared" si="3"/>
        <v>152.01504449905025</v>
      </c>
      <c r="DF14" s="2">
        <f t="shared" si="3"/>
        <v>152.62310467704646</v>
      </c>
    </row>
    <row r="15" spans="1:110" x14ac:dyDescent="0.3">
      <c r="A15" t="s">
        <v>32</v>
      </c>
      <c r="B15" s="2">
        <f>B13-B14</f>
        <v>142.50400000000016</v>
      </c>
      <c r="C15" s="2">
        <f>C13-C14</f>
        <v>94.767000000000039</v>
      </c>
      <c r="D15" s="2">
        <f>D13-D14</f>
        <v>193.33300000000008</v>
      </c>
      <c r="E15" s="2">
        <f>E13-E14</f>
        <v>167.77499999999907</v>
      </c>
      <c r="F15" s="2">
        <f>F13-F14</f>
        <v>195.84299999999996</v>
      </c>
      <c r="G15" s="2">
        <f>G13-G14</f>
        <v>49.745999999999952</v>
      </c>
      <c r="H15" s="2">
        <f>H13-H14</f>
        <v>172.95700000000005</v>
      </c>
      <c r="I15" s="2">
        <f>I13-I14</f>
        <v>171.25400000000087</v>
      </c>
      <c r="J15" s="2">
        <f>J13-J14</f>
        <v>126.10000000000008</v>
      </c>
      <c r="K15" s="2">
        <f>K13-K14</f>
        <v>4.8999999999999773</v>
      </c>
      <c r="L15" s="2">
        <f>L13-L14</f>
        <v>91.7</v>
      </c>
      <c r="M15" s="2">
        <f>M13-M14</f>
        <v>137.39999999999935</v>
      </c>
      <c r="N15" s="2">
        <f>N13-N14</f>
        <v>101.59999999999984</v>
      </c>
      <c r="O15" s="2">
        <f>O13-O14</f>
        <v>68.000000000000014</v>
      </c>
      <c r="P15" s="2">
        <f>P13-P14</f>
        <v>144.49999999999991</v>
      </c>
      <c r="Q15" s="2">
        <f>Q13-Q14</f>
        <v>202.10000000000016</v>
      </c>
      <c r="AH15" s="2">
        <f>SUM(N15:Q15)</f>
        <v>516.19999999999993</v>
      </c>
      <c r="AI15" s="2">
        <f>AI10-AI14</f>
        <v>561.85936240000024</v>
      </c>
      <c r="AJ15" s="2">
        <f>AJ10-AJ14</f>
        <v>577.59142454720018</v>
      </c>
      <c r="AK15" s="2">
        <f>AK10-AK14</f>
        <v>593.76398443452183</v>
      </c>
      <c r="AL15" s="2">
        <f>AL10-AL14</f>
        <v>610.38937599868848</v>
      </c>
      <c r="AM15" s="2">
        <f>AM10-AM14</f>
        <v>627.48027852665177</v>
      </c>
      <c r="AN15" s="2">
        <f>AN10-AN14</f>
        <v>645.04972632539796</v>
      </c>
      <c r="AO15" s="2">
        <f>AO10-AO14</f>
        <v>663.11111866250917</v>
      </c>
      <c r="AP15" s="2">
        <f>AP10-AP14</f>
        <v>681.67822998505949</v>
      </c>
      <c r="AQ15" s="2">
        <f>AQ10-AQ14</f>
        <v>700.76522042464114</v>
      </c>
      <c r="AR15" s="2">
        <f>AR10-AR14</f>
        <v>720.38664659653114</v>
      </c>
      <c r="AS15" s="2">
        <f>AS10-AS14</f>
        <v>723.26819318291723</v>
      </c>
      <c r="AT15" s="2">
        <f>AT10-AT14</f>
        <v>726.16126595564901</v>
      </c>
      <c r="AU15" s="2">
        <f t="shared" ref="AU15:DF15" si="4">AU10-AU14</f>
        <v>729.06591101947151</v>
      </c>
      <c r="AV15" s="2">
        <f t="shared" si="4"/>
        <v>731.98217466354936</v>
      </c>
      <c r="AW15" s="2">
        <f t="shared" si="4"/>
        <v>734.91010336220347</v>
      </c>
      <c r="AX15" s="2">
        <f t="shared" si="4"/>
        <v>737.84974377565231</v>
      </c>
      <c r="AY15" s="2">
        <f t="shared" si="4"/>
        <v>740.80114275075493</v>
      </c>
      <c r="AZ15" s="2">
        <f t="shared" si="4"/>
        <v>743.76434732175801</v>
      </c>
      <c r="BA15" s="2">
        <f t="shared" si="4"/>
        <v>746.73940471104504</v>
      </c>
      <c r="BB15" s="2">
        <f t="shared" si="4"/>
        <v>749.7263623298893</v>
      </c>
      <c r="BC15" s="2">
        <f t="shared" si="4"/>
        <v>752.72526777920882</v>
      </c>
      <c r="BD15" s="2">
        <f t="shared" si="4"/>
        <v>755.73616885032573</v>
      </c>
      <c r="BE15" s="2">
        <f t="shared" si="4"/>
        <v>758.75911352572712</v>
      </c>
      <c r="BF15" s="2">
        <f t="shared" si="4"/>
        <v>761.79414997982997</v>
      </c>
      <c r="BG15" s="2">
        <f t="shared" si="4"/>
        <v>764.84132657974931</v>
      </c>
      <c r="BH15" s="2">
        <f t="shared" si="4"/>
        <v>767.90069188606833</v>
      </c>
      <c r="BI15" s="2">
        <f t="shared" si="4"/>
        <v>770.97229465361249</v>
      </c>
      <c r="BJ15" s="2">
        <f t="shared" si="4"/>
        <v>774.05618383222702</v>
      </c>
      <c r="BK15" s="2">
        <f t="shared" si="4"/>
        <v>777.15240856755588</v>
      </c>
      <c r="BL15" s="2">
        <f t="shared" si="4"/>
        <v>780.26101820182612</v>
      </c>
      <c r="BM15" s="2">
        <f t="shared" si="4"/>
        <v>783.38206227463343</v>
      </c>
      <c r="BN15" s="2">
        <f t="shared" si="4"/>
        <v>786.51559052373204</v>
      </c>
      <c r="BO15" s="2">
        <f t="shared" si="4"/>
        <v>789.66165288582692</v>
      </c>
      <c r="BP15" s="2">
        <f t="shared" si="4"/>
        <v>792.82029949737023</v>
      </c>
      <c r="BQ15" s="2">
        <f t="shared" si="4"/>
        <v>795.99158069535963</v>
      </c>
      <c r="BR15" s="2">
        <f t="shared" si="4"/>
        <v>799.17554701814106</v>
      </c>
      <c r="BS15" s="2">
        <f t="shared" si="4"/>
        <v>802.37224920621372</v>
      </c>
      <c r="BT15" s="2">
        <f t="shared" si="4"/>
        <v>805.58173820303864</v>
      </c>
      <c r="BU15" s="2">
        <f t="shared" si="4"/>
        <v>808.80406515585071</v>
      </c>
      <c r="BV15" s="2">
        <f t="shared" si="4"/>
        <v>812.03928141647407</v>
      </c>
      <c r="BW15" s="2">
        <f t="shared" si="4"/>
        <v>815.28743854214008</v>
      </c>
      <c r="BX15" s="2">
        <f t="shared" si="4"/>
        <v>818.54858829630859</v>
      </c>
      <c r="BY15" s="2">
        <f t="shared" si="4"/>
        <v>821.82278264949389</v>
      </c>
      <c r="BZ15" s="2">
        <f t="shared" si="4"/>
        <v>825.11007378009185</v>
      </c>
      <c r="CA15" s="2">
        <f t="shared" si="4"/>
        <v>828.41051407521218</v>
      </c>
      <c r="CB15" s="2">
        <f t="shared" si="4"/>
        <v>831.72415613151304</v>
      </c>
      <c r="CC15" s="2">
        <f t="shared" si="4"/>
        <v>835.0510527560391</v>
      </c>
      <c r="CD15" s="2">
        <f t="shared" si="4"/>
        <v>838.39125696706333</v>
      </c>
      <c r="CE15" s="2">
        <f t="shared" si="4"/>
        <v>841.7448219949315</v>
      </c>
      <c r="CF15" s="2">
        <f t="shared" si="4"/>
        <v>845.1118012829113</v>
      </c>
      <c r="CG15" s="2">
        <f t="shared" si="4"/>
        <v>848.49224848804283</v>
      </c>
      <c r="CH15" s="2">
        <f t="shared" si="4"/>
        <v>851.88621748199489</v>
      </c>
      <c r="CI15" s="2">
        <f t="shared" si="4"/>
        <v>855.29376235192285</v>
      </c>
      <c r="CJ15" s="2">
        <f t="shared" si="4"/>
        <v>858.71493740133064</v>
      </c>
      <c r="CK15" s="2">
        <f t="shared" si="4"/>
        <v>862.14979715093591</v>
      </c>
      <c r="CL15" s="2">
        <f t="shared" si="4"/>
        <v>865.5983963395397</v>
      </c>
      <c r="CM15" s="2">
        <f t="shared" si="4"/>
        <v>869.0607899248979</v>
      </c>
      <c r="CN15" s="2">
        <f t="shared" si="4"/>
        <v>872.53703308459751</v>
      </c>
      <c r="CO15" s="2">
        <f t="shared" si="4"/>
        <v>876.02718121693601</v>
      </c>
      <c r="CP15" s="2">
        <f t="shared" si="4"/>
        <v>879.53128994180361</v>
      </c>
      <c r="CQ15" s="2">
        <f t="shared" si="4"/>
        <v>883.04941510157096</v>
      </c>
      <c r="CR15" s="2">
        <f t="shared" si="4"/>
        <v>886.58161276197723</v>
      </c>
      <c r="CS15" s="2">
        <f t="shared" si="4"/>
        <v>890.12793921302523</v>
      </c>
      <c r="CT15" s="2">
        <f t="shared" si="4"/>
        <v>893.68845096987741</v>
      </c>
      <c r="CU15" s="2">
        <f t="shared" si="4"/>
        <v>897.26320477375702</v>
      </c>
      <c r="CV15" s="2">
        <f t="shared" si="4"/>
        <v>900.85225759285186</v>
      </c>
      <c r="CW15" s="2">
        <f t="shared" si="4"/>
        <v>904.45566662322335</v>
      </c>
      <c r="CX15" s="2">
        <f t="shared" si="4"/>
        <v>908.07348928971601</v>
      </c>
      <c r="CY15" s="2">
        <f t="shared" si="4"/>
        <v>911.70578324687494</v>
      </c>
      <c r="CZ15" s="2">
        <f t="shared" si="4"/>
        <v>915.35260637986232</v>
      </c>
      <c r="DA15" s="2">
        <f t="shared" si="4"/>
        <v>919.01401680538174</v>
      </c>
      <c r="DB15" s="2">
        <f t="shared" si="4"/>
        <v>922.69007287260342</v>
      </c>
      <c r="DC15" s="2">
        <f t="shared" si="4"/>
        <v>926.38083316409359</v>
      </c>
      <c r="DD15" s="2">
        <f t="shared" si="4"/>
        <v>930.08635649675011</v>
      </c>
      <c r="DE15" s="2">
        <f t="shared" si="4"/>
        <v>933.80670192273715</v>
      </c>
      <c r="DF15" s="2">
        <f t="shared" si="4"/>
        <v>937.54192873042803</v>
      </c>
    </row>
    <row r="16" spans="1:110" s="1" customFormat="1" x14ac:dyDescent="0.3">
      <c r="A16" s="1" t="s">
        <v>33</v>
      </c>
      <c r="B16" s="1">
        <f>B15/B17</f>
        <v>0.34599098749125978</v>
      </c>
      <c r="C16" s="1">
        <f>C15/C17</f>
        <v>0.22996005843213585</v>
      </c>
      <c r="D16" s="1">
        <f>D15/D17</f>
        <v>0.46799966110310959</v>
      </c>
      <c r="E16" s="1">
        <f>E15/E17</f>
        <v>0.41544507284991006</v>
      </c>
      <c r="F16" s="1">
        <f>F15/F17</f>
        <v>0.48116663431748541</v>
      </c>
      <c r="G16" s="1">
        <f>G15/G17</f>
        <v>0.12320014265123248</v>
      </c>
      <c r="H16" s="1">
        <f>H15/H17</f>
        <v>0.42926210609132914</v>
      </c>
      <c r="I16" s="1">
        <f>I15/I17</f>
        <v>0.42405978546171508</v>
      </c>
      <c r="J16" s="1">
        <f>J15/J17</f>
        <v>0.31496653012288961</v>
      </c>
      <c r="K16" s="1">
        <f>K15/K17</f>
        <v>1.232843969757577E-2</v>
      </c>
      <c r="L16" s="1">
        <f>L15/L17</f>
        <v>0.22788383640077733</v>
      </c>
      <c r="M16" s="1">
        <f>M15/M17</f>
        <v>0.34202671990401184</v>
      </c>
      <c r="N16" s="1">
        <f>N15/N17</f>
        <v>0.25467425007707867</v>
      </c>
      <c r="O16" s="1">
        <f>O15/O17</f>
        <v>0.16877343903183617</v>
      </c>
      <c r="P16" s="1">
        <f>P15/P17</f>
        <v>0.35909721221278412</v>
      </c>
      <c r="Q16" s="1">
        <f>Q15/Q17</f>
        <v>0.50227652298393555</v>
      </c>
    </row>
    <row r="17" spans="1:110" x14ac:dyDescent="0.3">
      <c r="A17" t="s">
        <v>1</v>
      </c>
      <c r="B17" s="2">
        <v>411.87200000000001</v>
      </c>
      <c r="C17" s="2">
        <v>412.10199999999998</v>
      </c>
      <c r="D17" s="2">
        <v>413.10500000000002</v>
      </c>
      <c r="E17" s="2">
        <v>403.84399999999999</v>
      </c>
      <c r="F17" s="2">
        <v>407.017</v>
      </c>
      <c r="G17" s="2">
        <v>403.78199999999998</v>
      </c>
      <c r="H17" s="2">
        <v>402.91699999999997</v>
      </c>
      <c r="I17" s="2">
        <v>403.84399999999999</v>
      </c>
      <c r="J17" s="2">
        <v>400.36</v>
      </c>
      <c r="K17" s="2">
        <v>397.45499999999998</v>
      </c>
      <c r="L17" s="2">
        <v>402.39800000000002</v>
      </c>
      <c r="M17" s="2">
        <v>401.72300000000001</v>
      </c>
      <c r="N17" s="2">
        <v>398.94099999999997</v>
      </c>
      <c r="O17" s="2">
        <v>402.90699999999998</v>
      </c>
      <c r="P17" s="2">
        <v>402.39800000000002</v>
      </c>
      <c r="Q17" s="2">
        <v>402.36799999999999</v>
      </c>
      <c r="AH17" s="2">
        <v>402.36799999999999</v>
      </c>
      <c r="AI17" s="2"/>
    </row>
    <row r="18" spans="1:110" x14ac:dyDescent="0.3">
      <c r="L18" s="2"/>
      <c r="N18" s="2"/>
      <c r="O18" s="2"/>
    </row>
    <row r="19" spans="1:110" s="10" customFormat="1" x14ac:dyDescent="0.3">
      <c r="A19" s="10" t="s">
        <v>34</v>
      </c>
      <c r="F19" s="10">
        <f>F6/B6-1</f>
        <v>0.21902539977726732</v>
      </c>
      <c r="G19" s="10">
        <f>G6/C6-1</f>
        <v>0.15296429150819257</v>
      </c>
      <c r="H19" s="10">
        <f>H6/D6-1</f>
        <v>1.3066396364272537E-2</v>
      </c>
      <c r="I19" s="10">
        <f>I6/E6-1</f>
        <v>-5.7005628624728244E-2</v>
      </c>
      <c r="J19" s="10">
        <f>J6/F6-1</f>
        <v>6.1158786148450606E-2</v>
      </c>
      <c r="K19" s="10">
        <f>K6/G6-1</f>
        <v>-9.132249690548E-2</v>
      </c>
      <c r="L19" s="10">
        <f>L6/H6-1</f>
        <v>-4.0536532313878437E-3</v>
      </c>
      <c r="M19" s="10">
        <f>M6/I6-1</f>
        <v>3.3712900608594998E-2</v>
      </c>
      <c r="N19" s="10">
        <f>N6/J6-1</f>
        <v>-7.7742909586121289E-2</v>
      </c>
      <c r="O19" s="10">
        <f>O6/K6-1</f>
        <v>7.8096947935368144E-2</v>
      </c>
      <c r="P19" s="10">
        <f>P6/L6-1</f>
        <v>3.838517538054198E-3</v>
      </c>
      <c r="Q19" s="10">
        <f>Q6/M6-1</f>
        <v>0.12019728429641385</v>
      </c>
      <c r="T19" s="10">
        <f>T6/S6-1</f>
        <v>7.4281539210910852E-2</v>
      </c>
      <c r="U19" s="10">
        <f>U6/T6-1</f>
        <v>7.9573792790750497E-2</v>
      </c>
      <c r="V19" s="10">
        <f>V6/U6-1</f>
        <v>-3.191936161276776E-2</v>
      </c>
      <c r="W19" s="10">
        <f>W6/V6-1</f>
        <v>1.561822125813439E-2</v>
      </c>
      <c r="X19" s="10">
        <f>X6/W6-1</f>
        <v>1.537804357112349E-2</v>
      </c>
      <c r="Y19" s="10">
        <f>Y6/X6-1</f>
        <v>-5.469078670593186E-2</v>
      </c>
      <c r="Z19" s="10">
        <f>Z6/Y6-1</f>
        <v>1.3128615932354259E-2</v>
      </c>
      <c r="AA19" s="10">
        <f>AA6/Z6-1</f>
        <v>7.7092027234790139E-2</v>
      </c>
      <c r="AB19" s="10">
        <f>AB6/AA6-1</f>
        <v>0.13682707993474708</v>
      </c>
      <c r="AC19" s="10">
        <f>AC6/AB6-1</f>
        <v>3.3721973094170465E-2</v>
      </c>
      <c r="AD19" s="10">
        <f>AD6/AC6-1</f>
        <v>-0.22731216380357455</v>
      </c>
      <c r="AE19" s="10">
        <f>AE6/AD6-1</f>
        <v>0.29439389175836506</v>
      </c>
      <c r="AF19" s="10">
        <f>AF6/AE6-1</f>
        <v>7.0206192435169346E-2</v>
      </c>
      <c r="AG19" s="10">
        <f>AG6/AF6-1</f>
        <v>1.685957915896541E-3</v>
      </c>
      <c r="AH19" s="10">
        <f>AH6/AG6-1</f>
        <v>2.8532124939310677E-2</v>
      </c>
      <c r="AI19" s="10">
        <v>2.8000000000000001E-2</v>
      </c>
      <c r="AJ19" s="10">
        <v>2.8000000000000001E-2</v>
      </c>
      <c r="AK19" s="10">
        <v>2.8000000000000001E-2</v>
      </c>
      <c r="AL19" s="10">
        <v>2.8000000000000001E-2</v>
      </c>
      <c r="AM19" s="10">
        <v>2.8000000000000001E-2</v>
      </c>
      <c r="AN19" s="10">
        <v>2.8000000000000001E-2</v>
      </c>
      <c r="AO19" s="10">
        <v>2.8000000000000001E-2</v>
      </c>
      <c r="AP19" s="10">
        <v>2.8000000000000001E-2</v>
      </c>
      <c r="AQ19" s="10">
        <v>2.8000000000000001E-2</v>
      </c>
      <c r="AR19" s="10">
        <v>2.8000000000000001E-2</v>
      </c>
    </row>
    <row r="20" spans="1:110" s="11" customFormat="1" x14ac:dyDescent="0.3">
      <c r="A20" s="11" t="s">
        <v>24</v>
      </c>
      <c r="B20" s="11">
        <f>B8/B6</f>
        <v>0.58212916340508059</v>
      </c>
      <c r="C20" s="11">
        <f>C8/C6</f>
        <v>0.58794518057228573</v>
      </c>
      <c r="D20" s="11">
        <f>D8/D6</f>
        <v>0.57569802521664926</v>
      </c>
      <c r="E20" s="11">
        <f>E8/E6</f>
        <v>0.57831017799939566</v>
      </c>
      <c r="F20" s="11">
        <f>F8/F6</f>
        <v>0.59288170991767841</v>
      </c>
      <c r="G20" s="11">
        <f>G8/G6</f>
        <v>0.58119401909663804</v>
      </c>
      <c r="H20" s="11">
        <f>H8/H6</f>
        <v>0.56875127706555051</v>
      </c>
      <c r="I20" s="11">
        <f>I8/I6</f>
        <v>0.55848569211179444</v>
      </c>
      <c r="J20" s="11">
        <f>J8/J6</f>
        <v>0.55793711883474451</v>
      </c>
      <c r="K20" s="11">
        <f>K8/K6</f>
        <v>0.58662477558348292</v>
      </c>
      <c r="L20" s="11">
        <f>L8/L6</f>
        <v>0.55559232296492389</v>
      </c>
      <c r="M20" s="11">
        <f>M8/M6</f>
        <v>0.57827437130853054</v>
      </c>
      <c r="N20" s="11">
        <f>N8/N6</f>
        <v>0.58198510529018999</v>
      </c>
      <c r="O20" s="11">
        <f>O8/O6</f>
        <v>0.60484318623369415</v>
      </c>
      <c r="P20" s="11">
        <f>P8/P6</f>
        <v>0.60040875527426163</v>
      </c>
      <c r="Q20" s="11">
        <f>Q8/Q6</f>
        <v>0.61259988041528501</v>
      </c>
    </row>
    <row r="21" spans="1:110" s="11" customFormat="1" x14ac:dyDescent="0.3">
      <c r="A21" s="11" t="s">
        <v>35</v>
      </c>
      <c r="B21" s="11">
        <f>B10/B6</f>
        <v>0.13566385468159528</v>
      </c>
      <c r="C21" s="11">
        <f>C10/C6</f>
        <v>8.343057953511486E-2</v>
      </c>
      <c r="D21" s="11">
        <f>D10/D6</f>
        <v>0.14443950314573761</v>
      </c>
      <c r="E21" s="11">
        <f>E10/E6</f>
        <v>0.11551056190685863</v>
      </c>
      <c r="F21" s="11">
        <f>F10/F6</f>
        <v>0.14717114381971924</v>
      </c>
      <c r="G21" s="11">
        <f>G10/G6</f>
        <v>5.177313786706849E-2</v>
      </c>
      <c r="H21" s="11">
        <f>H10/H6</f>
        <v>0.13125135945687641</v>
      </c>
      <c r="I21" s="11">
        <f>I10/I6</f>
        <v>9.9244746934519013E-2</v>
      </c>
      <c r="J21" s="11">
        <f>J10/J6</f>
        <v>9.9946710876902156E-2</v>
      </c>
      <c r="K21" s="11">
        <f>K10/K6</f>
        <v>1.2268102932375806E-2</v>
      </c>
      <c r="L21" s="11">
        <f>L10/L6</f>
        <v>8.3719391131700863E-2</v>
      </c>
      <c r="M21" s="11">
        <f>M10/M6</f>
        <v>9.2614016927479365E-2</v>
      </c>
      <c r="N21" s="11">
        <f>N10/N6</f>
        <v>7.1777092963533545E-2</v>
      </c>
      <c r="O21" s="11">
        <f>O10/O6</f>
        <v>5.3427699139605885E-2</v>
      </c>
      <c r="P21" s="11">
        <f>P10/P6</f>
        <v>0.10159546413502105</v>
      </c>
      <c r="Q21" s="11">
        <f>Q10/Q6</f>
        <v>0.12328096972332453</v>
      </c>
      <c r="AE21" s="11">
        <f>AE10/AE6</f>
        <v>0.12049023445090289</v>
      </c>
      <c r="AF21" s="11">
        <f>AF10/AF6</f>
        <v>0.10816068475829213</v>
      </c>
      <c r="AG21" s="11">
        <f>AG10/AG6</f>
        <v>7.5060689431946812E-2</v>
      </c>
      <c r="AH21" s="11">
        <f>AH10/AH6</f>
        <v>8.964171636272085E-2</v>
      </c>
      <c r="AI21" s="11">
        <v>0.1</v>
      </c>
      <c r="AJ21" s="11">
        <v>0.1</v>
      </c>
      <c r="AK21" s="11">
        <v>0.1</v>
      </c>
      <c r="AL21" s="11">
        <v>0.1</v>
      </c>
      <c r="AM21" s="11">
        <v>0.1</v>
      </c>
      <c r="AN21" s="11">
        <v>0.1</v>
      </c>
      <c r="AO21" s="11">
        <v>0.1</v>
      </c>
      <c r="AP21" s="11">
        <v>0.1</v>
      </c>
      <c r="AQ21" s="11">
        <v>0.1</v>
      </c>
      <c r="AR21" s="11">
        <v>0.1</v>
      </c>
      <c r="AS21" s="11">
        <v>0.1</v>
      </c>
      <c r="AT21" s="11">
        <v>0.1</v>
      </c>
      <c r="AU21" s="11">
        <v>0.1</v>
      </c>
      <c r="AV21" s="11">
        <v>0.1</v>
      </c>
      <c r="AW21" s="11">
        <v>0.1</v>
      </c>
      <c r="AX21" s="11">
        <v>0.1</v>
      </c>
      <c r="AY21" s="11">
        <v>0.1</v>
      </c>
      <c r="AZ21" s="11">
        <v>0.1</v>
      </c>
      <c r="BA21" s="11">
        <v>0.1</v>
      </c>
      <c r="BB21" s="11">
        <v>0.1</v>
      </c>
      <c r="BC21" s="11">
        <v>0.1</v>
      </c>
      <c r="BD21" s="11">
        <v>0.1</v>
      </c>
      <c r="BE21" s="11">
        <v>0.1</v>
      </c>
      <c r="BF21" s="11">
        <v>0.1</v>
      </c>
      <c r="BG21" s="11">
        <v>0.1</v>
      </c>
      <c r="BH21" s="11">
        <v>0.1</v>
      </c>
      <c r="BI21" s="11">
        <v>0.1</v>
      </c>
      <c r="BJ21" s="11">
        <v>0.1</v>
      </c>
      <c r="BK21" s="11">
        <v>0.1</v>
      </c>
      <c r="BL21" s="11">
        <v>0.1</v>
      </c>
      <c r="BM21" s="11">
        <v>0.1</v>
      </c>
      <c r="BN21" s="11">
        <v>0.1</v>
      </c>
      <c r="BO21" s="11">
        <v>0.1</v>
      </c>
      <c r="BP21" s="11">
        <v>0.1</v>
      </c>
      <c r="BQ21" s="11">
        <v>0.1</v>
      </c>
      <c r="BR21" s="11">
        <v>0.1</v>
      </c>
      <c r="BS21" s="11">
        <v>0.1</v>
      </c>
      <c r="BT21" s="11">
        <v>0.1</v>
      </c>
      <c r="BU21" s="11">
        <v>0.1</v>
      </c>
      <c r="BV21" s="11">
        <v>0.1</v>
      </c>
      <c r="BW21" s="11">
        <v>0.1</v>
      </c>
      <c r="BX21" s="11">
        <v>0.1</v>
      </c>
      <c r="BY21" s="11">
        <v>0.1</v>
      </c>
      <c r="BZ21" s="11">
        <v>0.1</v>
      </c>
      <c r="CA21" s="11">
        <v>0.1</v>
      </c>
      <c r="CB21" s="11">
        <v>0.1</v>
      </c>
      <c r="CC21" s="11">
        <v>0.1</v>
      </c>
      <c r="CD21" s="11">
        <v>0.1</v>
      </c>
      <c r="CE21" s="11">
        <v>0.1</v>
      </c>
      <c r="CF21" s="11">
        <v>0.1</v>
      </c>
      <c r="CG21" s="11">
        <v>0.1</v>
      </c>
      <c r="CH21" s="11">
        <v>0.1</v>
      </c>
      <c r="CI21" s="11">
        <v>0.1</v>
      </c>
      <c r="CJ21" s="11">
        <v>0.1</v>
      </c>
      <c r="CK21" s="11">
        <v>0.1</v>
      </c>
      <c r="CL21" s="11">
        <v>0.1</v>
      </c>
      <c r="CM21" s="11">
        <v>0.1</v>
      </c>
      <c r="CN21" s="11">
        <v>0.1</v>
      </c>
      <c r="CO21" s="11">
        <v>0.1</v>
      </c>
      <c r="CP21" s="11">
        <v>0.1</v>
      </c>
      <c r="CQ21" s="11">
        <v>0.1</v>
      </c>
      <c r="CR21" s="11">
        <v>0.1</v>
      </c>
      <c r="CS21" s="11">
        <v>0.1</v>
      </c>
      <c r="CT21" s="11">
        <v>0.1</v>
      </c>
      <c r="CU21" s="11">
        <v>0.1</v>
      </c>
      <c r="CV21" s="11">
        <v>0.1</v>
      </c>
      <c r="CW21" s="11">
        <v>0.1</v>
      </c>
      <c r="CX21" s="11">
        <v>0.1</v>
      </c>
      <c r="CY21" s="11">
        <v>0.1</v>
      </c>
      <c r="CZ21" s="11">
        <v>0.1</v>
      </c>
      <c r="DA21" s="11">
        <v>0.1</v>
      </c>
      <c r="DB21" s="11">
        <v>0.1</v>
      </c>
      <c r="DC21" s="11">
        <v>0.1</v>
      </c>
      <c r="DD21" s="11">
        <v>0.1</v>
      </c>
      <c r="DE21" s="11">
        <v>0.1</v>
      </c>
      <c r="DF21" s="11">
        <v>0.1</v>
      </c>
    </row>
    <row r="22" spans="1:110" s="11" customFormat="1" x14ac:dyDescent="0.3">
      <c r="A22" s="11" t="s">
        <v>36</v>
      </c>
      <c r="B22" s="11">
        <f>B14/B13</f>
        <v>7.8663744334749153E-2</v>
      </c>
      <c r="C22" s="11">
        <f>C14/C13</f>
        <v>-0.10519318460121048</v>
      </c>
      <c r="D22" s="11">
        <f>D14/D13</f>
        <v>4.7803623934318015E-2</v>
      </c>
      <c r="E22" s="11">
        <f>E14/E13</f>
        <v>7.6083065790705881E-2</v>
      </c>
      <c r="F22" s="11">
        <f>F14/F13</f>
        <v>0.20350494751526146</v>
      </c>
      <c r="G22" s="11">
        <f>G14/G13</f>
        <v>0.36070629963759759</v>
      </c>
      <c r="H22" s="11">
        <f>H14/H13</f>
        <v>7.1601107914286921E-2</v>
      </c>
      <c r="I22" s="11">
        <f>I14/I13</f>
        <v>-6.8274395074511954E-2</v>
      </c>
      <c r="J22" s="11">
        <f>J14/J13</f>
        <v>0.16268260292164666</v>
      </c>
      <c r="K22" s="11">
        <f>K14/K13</f>
        <v>7.9999999999997433</v>
      </c>
      <c r="L22" s="11">
        <f>L14/L13</f>
        <v>-3.8505096262740658E-2</v>
      </c>
      <c r="M22" s="11">
        <f>M14/M13</f>
        <v>7.272727272727281E-4</v>
      </c>
      <c r="N22" s="11">
        <f>N14/N13</f>
        <v>-2.1105527638190989E-2</v>
      </c>
      <c r="O22" s="11">
        <f>O14/O13</f>
        <v>-1.3412816691505215E-2</v>
      </c>
      <c r="P22" s="11">
        <f>P14/P13</f>
        <v>-6.2674094707520934E-3</v>
      </c>
      <c r="Q22" s="11">
        <f>Q14/Q13</f>
        <v>5.7369402985074584E-2</v>
      </c>
    </row>
    <row r="24" spans="1:110" x14ac:dyDescent="0.3">
      <c r="AI24" t="s">
        <v>38</v>
      </c>
      <c r="AJ24" s="9">
        <v>8.5000000000000006E-2</v>
      </c>
    </row>
    <row r="25" spans="1:110" x14ac:dyDescent="0.3">
      <c r="AI25" t="s">
        <v>37</v>
      </c>
      <c r="AJ25" s="15">
        <f>NPV(AJ24,AI15:DF15)</f>
        <v>8036.594488976998</v>
      </c>
    </row>
    <row r="26" spans="1:110" x14ac:dyDescent="0.3">
      <c r="AI26" t="s">
        <v>39</v>
      </c>
      <c r="AJ26" s="1">
        <f>AJ25/AH17</f>
        <v>19.973244614325687</v>
      </c>
    </row>
    <row r="27" spans="1:110" x14ac:dyDescent="0.3">
      <c r="AI27" t="s">
        <v>40</v>
      </c>
      <c r="AJ27" s="14">
        <f>AJ26/Main!I2-1</f>
        <v>5.0118013371487136E-2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467D-AF94-47C2-BB7D-3A99358BBDD6}">
  <dimension ref="B2:C5"/>
  <sheetViews>
    <sheetView workbookViewId="0">
      <selection activeCell="G8" sqref="G8"/>
    </sheetView>
  </sheetViews>
  <sheetFormatPr defaultRowHeight="14.4" x14ac:dyDescent="0.3"/>
  <sheetData>
    <row r="2" spans="2:3" x14ac:dyDescent="0.3">
      <c r="B2" t="s">
        <v>34</v>
      </c>
      <c r="C2" t="s">
        <v>0</v>
      </c>
    </row>
    <row r="3" spans="2:3" x14ac:dyDescent="0.3">
      <c r="B3" s="14">
        <v>0</v>
      </c>
      <c r="C3">
        <v>16.314803620045751</v>
      </c>
    </row>
    <row r="4" spans="2:3" x14ac:dyDescent="0.3">
      <c r="B4" s="9">
        <v>2.8000000000000001E-2</v>
      </c>
      <c r="C4">
        <v>19.973244614325687</v>
      </c>
    </row>
    <row r="5" spans="2:3" x14ac:dyDescent="0.3">
      <c r="B5" s="14">
        <v>0.04</v>
      </c>
      <c r="C5">
        <v>21.797357150274824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Main</vt:lpstr>
      <vt:lpstr>Model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2025-02-02T11:43:56Z</dcterms:created>
  <dcterms:modified xsi:type="dcterms:W3CDTF">2025-02-02T13:35:38Z</dcterms:modified>
</cp:coreProperties>
</file>