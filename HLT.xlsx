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609" documentId="8_{5E01DF12-64C8-4015-9155-DD8B9196FB35}" xr6:coauthVersionLast="47" xr6:coauthVersionMax="47" xr10:uidLastSave="{5FE8E873-7AA6-42D4-B110-EBDA27B9EDEC}"/>
  <bookViews>
    <workbookView xWindow="690" yWindow="1500" windowWidth="28815" windowHeight="16830" activeTab="1" xr2:uid="{6D41995B-E6CD-44BB-A1C1-88E97C51F19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7" i="2" l="1"/>
  <c r="Q48" i="2"/>
  <c r="Q44" i="2"/>
  <c r="Q43" i="2"/>
  <c r="Q42" i="2"/>
  <c r="Q34" i="2"/>
  <c r="Q30" i="2"/>
  <c r="K8" i="1"/>
  <c r="K7" i="1"/>
  <c r="Q19" i="2"/>
  <c r="Q15" i="2"/>
  <c r="Q12" i="2"/>
  <c r="Q11" i="2"/>
  <c r="Q10" i="2"/>
  <c r="Q9" i="2"/>
  <c r="V24" i="2"/>
  <c r="W24" i="2"/>
  <c r="X24" i="2"/>
  <c r="Y24" i="2"/>
  <c r="Z24" i="2"/>
  <c r="AA24" i="2"/>
  <c r="AB24" i="2"/>
  <c r="AC24" i="2"/>
  <c r="AD24" i="2"/>
  <c r="AE24" i="2"/>
  <c r="AF24" i="2"/>
  <c r="AG24" i="2"/>
  <c r="E15" i="2"/>
  <c r="E17" i="2"/>
  <c r="E19" i="2"/>
  <c r="E12" i="2"/>
  <c r="E11" i="2"/>
  <c r="E10" i="2"/>
  <c r="E9" i="2"/>
  <c r="E22" i="2"/>
  <c r="I22" i="2"/>
  <c r="I19" i="2"/>
  <c r="I17" i="2"/>
  <c r="I15" i="2"/>
  <c r="I12" i="2"/>
  <c r="I11" i="2"/>
  <c r="I10" i="2"/>
  <c r="I9" i="2"/>
  <c r="J13" i="2"/>
  <c r="J14" i="2"/>
  <c r="J16" i="2" s="1"/>
  <c r="J18" i="2" s="1"/>
  <c r="J20" i="2" s="1"/>
  <c r="J21" i="2" s="1"/>
  <c r="M17" i="2"/>
  <c r="M11" i="2"/>
  <c r="M10" i="2"/>
  <c r="M19" i="2"/>
  <c r="M15" i="2"/>
  <c r="M12" i="2"/>
  <c r="M9" i="2"/>
  <c r="B13" i="2"/>
  <c r="B14" i="2" s="1"/>
  <c r="B16" i="2" s="1"/>
  <c r="F13" i="2"/>
  <c r="F14" i="2" s="1"/>
  <c r="F24" i="2" s="1"/>
  <c r="G13" i="2"/>
  <c r="G14" i="2" s="1"/>
  <c r="G16" i="2" s="1"/>
  <c r="C13" i="2"/>
  <c r="C14" i="2" s="1"/>
  <c r="C16" i="2" s="1"/>
  <c r="D13" i="2"/>
  <c r="D14" i="2" s="1"/>
  <c r="H13" i="2"/>
  <c r="H14" i="2" s="1"/>
  <c r="N13" i="2"/>
  <c r="N14" i="2" s="1"/>
  <c r="K13" i="2"/>
  <c r="K14" i="2" s="1"/>
  <c r="K16" i="2" s="1"/>
  <c r="K18" i="2" s="1"/>
  <c r="K20" i="2" s="1"/>
  <c r="K21" i="2" s="1"/>
  <c r="O13" i="2"/>
  <c r="O14" i="2" s="1"/>
  <c r="O16" i="2" s="1"/>
  <c r="L13" i="2"/>
  <c r="L14" i="2" s="1"/>
  <c r="P17" i="2"/>
  <c r="Q17" i="2" s="1"/>
  <c r="P13" i="2"/>
  <c r="P14" i="2" s="1"/>
  <c r="P16" i="2" s="1"/>
  <c r="P25" i="2" s="1"/>
  <c r="K6" i="1"/>
  <c r="K9" i="1" s="1"/>
  <c r="Q39" i="2" l="1"/>
  <c r="Q49" i="2"/>
  <c r="Q13" i="2"/>
  <c r="Q14" i="2" s="1"/>
  <c r="E13" i="2"/>
  <c r="E14" i="2" s="1"/>
  <c r="E16" i="2" s="1"/>
  <c r="E18" i="2" s="1"/>
  <c r="M13" i="2"/>
  <c r="M14" i="2" s="1"/>
  <c r="I13" i="2"/>
  <c r="I14" i="2" s="1"/>
  <c r="B18" i="2"/>
  <c r="B25" i="2"/>
  <c r="F16" i="2"/>
  <c r="C18" i="2"/>
  <c r="C25" i="2"/>
  <c r="G18" i="2"/>
  <c r="G25" i="2"/>
  <c r="G24" i="2"/>
  <c r="D16" i="2"/>
  <c r="H24" i="2"/>
  <c r="H16" i="2"/>
  <c r="L24" i="2"/>
  <c r="O18" i="2"/>
  <c r="O25" i="2"/>
  <c r="K25" i="2"/>
  <c r="K24" i="2"/>
  <c r="K26" i="2"/>
  <c r="K27" i="2"/>
  <c r="O24" i="2"/>
  <c r="J24" i="2"/>
  <c r="J25" i="2"/>
  <c r="N24" i="2"/>
  <c r="N16" i="2"/>
  <c r="L16" i="2"/>
  <c r="P18" i="2"/>
  <c r="P27" i="2" s="1"/>
  <c r="P24" i="2"/>
  <c r="I16" i="2" l="1"/>
  <c r="I24" i="2"/>
  <c r="M24" i="2"/>
  <c r="M16" i="2"/>
  <c r="Q16" i="2"/>
  <c r="AH16" i="2" s="1"/>
  <c r="Q24" i="2"/>
  <c r="AH14" i="2"/>
  <c r="E25" i="2"/>
  <c r="J27" i="2"/>
  <c r="B27" i="2"/>
  <c r="B20" i="2"/>
  <c r="F18" i="2"/>
  <c r="F25" i="2"/>
  <c r="C20" i="2"/>
  <c r="C27" i="2"/>
  <c r="G27" i="2"/>
  <c r="G20" i="2"/>
  <c r="D25" i="2"/>
  <c r="D18" i="2"/>
  <c r="H25" i="2"/>
  <c r="H18" i="2"/>
  <c r="O20" i="2"/>
  <c r="O27" i="2"/>
  <c r="L18" i="2"/>
  <c r="L27" i="2" s="1"/>
  <c r="L25" i="2"/>
  <c r="N18" i="2"/>
  <c r="N25" i="2"/>
  <c r="P20" i="2"/>
  <c r="P26" i="2" s="1"/>
  <c r="P21" i="2"/>
  <c r="AH25" i="2" l="1"/>
  <c r="AH24" i="2"/>
  <c r="AI14" i="2"/>
  <c r="Q18" i="2"/>
  <c r="Q25" i="2"/>
  <c r="M18" i="2"/>
  <c r="M25" i="2"/>
  <c r="I18" i="2"/>
  <c r="I25" i="2"/>
  <c r="E27" i="2"/>
  <c r="E20" i="2"/>
  <c r="B26" i="2"/>
  <c r="F27" i="2"/>
  <c r="F20" i="2"/>
  <c r="C26" i="2"/>
  <c r="G26" i="2"/>
  <c r="G21" i="2"/>
  <c r="D27" i="2"/>
  <c r="D20" i="2"/>
  <c r="L20" i="2"/>
  <c r="H27" i="2"/>
  <c r="H20" i="2"/>
  <c r="O21" i="2"/>
  <c r="O26" i="2"/>
  <c r="J26" i="2"/>
  <c r="N27" i="2"/>
  <c r="N20" i="2"/>
  <c r="AE20" i="2" l="1"/>
  <c r="L26" i="2"/>
  <c r="I20" i="2"/>
  <c r="I27" i="2"/>
  <c r="M20" i="2"/>
  <c r="M27" i="2"/>
  <c r="AJ14" i="2"/>
  <c r="AI24" i="2"/>
  <c r="AI20" i="2"/>
  <c r="L21" i="2"/>
  <c r="Q20" i="2"/>
  <c r="AH20" i="2" s="1"/>
  <c r="Q27" i="2"/>
  <c r="E21" i="2"/>
  <c r="E26" i="2"/>
  <c r="F26" i="2"/>
  <c r="F21" i="2"/>
  <c r="D26" i="2"/>
  <c r="H26" i="2"/>
  <c r="H21" i="2"/>
  <c r="N21" i="2"/>
  <c r="N26" i="2"/>
  <c r="M21" i="2" l="1"/>
  <c r="M26" i="2"/>
  <c r="Q21" i="2"/>
  <c r="Q26" i="2"/>
  <c r="AG20" i="2"/>
  <c r="AH26" i="2"/>
  <c r="AK14" i="2"/>
  <c r="AJ24" i="2"/>
  <c r="AJ20" i="2"/>
  <c r="I21" i="2"/>
  <c r="I26" i="2"/>
  <c r="AF20" i="2"/>
  <c r="AL14" i="2" l="1"/>
  <c r="AK24" i="2"/>
  <c r="AK20" i="2"/>
  <c r="AM14" i="2" l="1"/>
  <c r="AL24" i="2"/>
  <c r="AL20" i="2"/>
  <c r="AN14" i="2" l="1"/>
  <c r="AM24" i="2"/>
  <c r="AM20" i="2"/>
  <c r="AN24" i="2" l="1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AR30" i="2" s="1"/>
  <c r="AR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tc={C85DCB7E-D8CB-44F0-B467-B029C7024F45}</author>
    <author>tc={A6049D73-69DB-4920-BA48-E0942D971189}</author>
  </authors>
  <commentList>
    <comment ref="R20" authorId="0" shapeId="0" xr:uid="{C85DCB7E-D8CB-44F0-B467-B029C7024F4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Guidance is 
373-388</t>
      </text>
    </comment>
    <comment ref="AI20" authorId="1" shapeId="0" xr:uid="{A6049D73-69DB-4920-BA48-E0942D97118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Guidance is 1829-1858</t>
      </text>
    </comment>
  </commentList>
</comments>
</file>

<file path=xl/sharedStrings.xml><?xml version="1.0" encoding="utf-8"?>
<sst xmlns="http://schemas.openxmlformats.org/spreadsheetml/2006/main" count="66" uniqueCount="56">
  <si>
    <t>Price</t>
  </si>
  <si>
    <t>Shares</t>
  </si>
  <si>
    <t>MC</t>
  </si>
  <si>
    <t>Cash</t>
  </si>
  <si>
    <t>Debt</t>
  </si>
  <si>
    <t>EV</t>
  </si>
  <si>
    <t>Q324</t>
  </si>
  <si>
    <t xml:space="preserve">Franchise and licensing </t>
  </si>
  <si>
    <t>Base and other management</t>
  </si>
  <si>
    <t>Incentive management</t>
  </si>
  <si>
    <t>Owned and leased hotels</t>
  </si>
  <si>
    <t>Other</t>
  </si>
  <si>
    <t>Revenue</t>
  </si>
  <si>
    <t>Operating costs</t>
  </si>
  <si>
    <t>Operating margin</t>
  </si>
  <si>
    <t>Interest</t>
  </si>
  <si>
    <t>Pretax income</t>
  </si>
  <si>
    <t>Taxes</t>
  </si>
  <si>
    <t>Net Income</t>
  </si>
  <si>
    <t>Q323</t>
  </si>
  <si>
    <t>EPS</t>
  </si>
  <si>
    <t>Q224</t>
  </si>
  <si>
    <t>Q223</t>
  </si>
  <si>
    <t>Revenue Y/Y</t>
  </si>
  <si>
    <t>Op margin</t>
  </si>
  <si>
    <t>Net margin</t>
  </si>
  <si>
    <t>Tax rate</t>
  </si>
  <si>
    <t>Q124</t>
  </si>
  <si>
    <t>Q123</t>
  </si>
  <si>
    <t>Q322</t>
  </si>
  <si>
    <t>Q321</t>
  </si>
  <si>
    <t>Q121</t>
  </si>
  <si>
    <t>Q422</t>
  </si>
  <si>
    <t>Q423</t>
  </si>
  <si>
    <t>Q421</t>
  </si>
  <si>
    <t>Q221</t>
  </si>
  <si>
    <t>discount rate</t>
  </si>
  <si>
    <t>NPV</t>
  </si>
  <si>
    <t>Share</t>
  </si>
  <si>
    <t>Q424</t>
  </si>
  <si>
    <t>Net Cash</t>
  </si>
  <si>
    <t>AR</t>
  </si>
  <si>
    <t>Prepaids</t>
  </si>
  <si>
    <t>Goodwill</t>
  </si>
  <si>
    <t>Franchise contracts</t>
  </si>
  <si>
    <t>PP&amp;E</t>
  </si>
  <si>
    <t>Operating lease</t>
  </si>
  <si>
    <t>DT</t>
  </si>
  <si>
    <t>Total Assets</t>
  </si>
  <si>
    <t>AP</t>
  </si>
  <si>
    <t>DR</t>
  </si>
  <si>
    <t>Guest loyalty program</t>
  </si>
  <si>
    <t>SE</t>
  </si>
  <si>
    <t>Total L&amp;SE</t>
  </si>
  <si>
    <t>Rooms</t>
  </si>
  <si>
    <t>Income per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</si>
</sst>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_ ;[Red]\-#,##0\ "/>
    <numFmt numFmtId="166" formatCode="#,##0.000"/>
    <numFmt numFmtId="167" formatCode="[$$-409]#,##0.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4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0" applyFont="1"/>
    <xf numFmtId="164" fontId="2" fillId="0" borderId="0" xfId="0" applyNumberFormat="1" applyFont="1"/>
    <xf numFmtId="9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40005</xdr:colOff>
      <xdr:row>0</xdr:row>
      <xdr:rowOff>62865</xdr:rowOff>
    </xdr:from>
    <xdr:to>
      <xdr:col>17</xdr:col>
      <xdr:colOff>49530</xdr:colOff>
      <xdr:row>59</xdr:row>
      <xdr:rowOff>123825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C9A375BE-0B3F-D791-979E-793177EAB188}"/>
            </a:ext>
          </a:extLst>
        </xdr:cNvPr>
        <xdr:cNvCxnSpPr/>
      </xdr:nvCxnSpPr>
      <xdr:spPr>
        <a:xfrm flipH="1">
          <a:off x="13013055" y="62865"/>
          <a:ext cx="9525" cy="98336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15240</xdr:colOff>
      <xdr:row>0</xdr:row>
      <xdr:rowOff>19050</xdr:rowOff>
    </xdr:from>
    <xdr:to>
      <xdr:col>34</xdr:col>
      <xdr:colOff>43815</xdr:colOff>
      <xdr:row>39</xdr:row>
      <xdr:rowOff>45720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5CEA5BCF-12BA-27EB-789B-6B8D234A0D14}"/>
            </a:ext>
          </a:extLst>
        </xdr:cNvPr>
        <xdr:cNvCxnSpPr/>
      </xdr:nvCxnSpPr>
      <xdr:spPr>
        <a:xfrm>
          <a:off x="23703915" y="19050"/>
          <a:ext cx="28575" cy="63607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Szewczyk" id="{1CE8DE4D-67B5-4807-B781-EA361860D8FB}" userId="0eb6a9f0be765fac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0" dT="2025-02-07T12:57:26.38" personId="{1CE8DE4D-67B5-4807-B781-EA361860D8FB}" id="{C85DCB7E-D8CB-44F0-B467-B029C7024F45}">
    <text>Guidance is 
373-388</text>
  </threadedComment>
  <threadedComment ref="AI20" dT="2025-02-07T12:58:23.03" personId="{1CE8DE4D-67B5-4807-B781-EA361860D8FB}" id="{A6049D73-69DB-4920-BA48-E0942D971189}">
    <text>Guidance is 1829-1858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4CE4-FA10-40A6-93F7-386C6B0324F3}">
  <dimension ref="J4:L9"/>
  <sheetViews>
    <sheetView workbookViewId="0">
      <selection activeCell="K9" sqref="K9"/>
    </sheetView>
  </sheetViews>
  <sheetFormatPr defaultRowHeight="15" x14ac:dyDescent="0.25"/>
  <sheetData>
    <row r="4" spans="10:12" x14ac:dyDescent="0.25">
      <c r="J4" t="s">
        <v>0</v>
      </c>
      <c r="K4">
        <v>270</v>
      </c>
      <c r="L4" t="s">
        <v>39</v>
      </c>
    </row>
    <row r="5" spans="10:12" x14ac:dyDescent="0.25">
      <c r="J5" t="s">
        <v>1</v>
      </c>
      <c r="K5" s="1">
        <v>240.56899999999999</v>
      </c>
    </row>
    <row r="6" spans="10:12" x14ac:dyDescent="0.25">
      <c r="J6" t="s">
        <v>2</v>
      </c>
      <c r="K6" s="1">
        <f>K5*K4</f>
        <v>64953.63</v>
      </c>
    </row>
    <row r="7" spans="10:12" x14ac:dyDescent="0.25">
      <c r="J7" t="s">
        <v>3</v>
      </c>
      <c r="K7" s="1">
        <f>1301+75</f>
        <v>1376</v>
      </c>
    </row>
    <row r="8" spans="10:12" x14ac:dyDescent="0.25">
      <c r="J8" t="s">
        <v>4</v>
      </c>
      <c r="K8" s="1">
        <f>535+10616</f>
        <v>11151</v>
      </c>
    </row>
    <row r="9" spans="10:12" x14ac:dyDescent="0.25">
      <c r="J9" t="s">
        <v>5</v>
      </c>
      <c r="K9" s="1">
        <f>K6-K7+K8</f>
        <v>74728.63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7DB4-39C1-48BC-8663-ED37F246C3D6}">
  <dimension ref="A2:DR49"/>
  <sheetViews>
    <sheetView tabSelected="1" workbookViewId="0">
      <pane xSplit="1" topLeftCell="B1" activePane="topRight" state="frozen"/>
      <selection pane="topRight" activeCell="C3" sqref="C3"/>
    </sheetView>
  </sheetViews>
  <sheetFormatPr defaultRowHeight="15" x14ac:dyDescent="0.25"/>
  <cols>
    <col min="1" max="1" width="26.7109375" bestFit="1" customWidth="1"/>
    <col min="2" max="11" width="10.140625" bestFit="1" customWidth="1"/>
    <col min="12" max="12" width="10.140625" customWidth="1"/>
    <col min="13" max="14" width="10.28515625" bestFit="1" customWidth="1"/>
    <col min="15" max="16" width="10.140625" bestFit="1" customWidth="1"/>
    <col min="17" max="17" width="12.28515625" bestFit="1" customWidth="1"/>
    <col min="21" max="21" width="10.28515625" bestFit="1" customWidth="1"/>
    <col min="33" max="33" width="9.5703125" customWidth="1"/>
    <col min="34" max="34" width="12" bestFit="1" customWidth="1"/>
    <col min="44" max="44" width="10.85546875" bestFit="1" customWidth="1"/>
  </cols>
  <sheetData>
    <row r="2" spans="1:112" s="13" customFormat="1" x14ac:dyDescent="0.25">
      <c r="A2" s="13" t="s">
        <v>54</v>
      </c>
      <c r="Q2" s="13">
        <v>1.2682059999999999</v>
      </c>
    </row>
    <row r="3" spans="1:112" x14ac:dyDescent="0.25">
      <c r="A3" t="s">
        <v>55</v>
      </c>
      <c r="Q3" s="14">
        <f>Q20/Q2</f>
        <v>395.04623065968781</v>
      </c>
    </row>
    <row r="7" spans="1:112" x14ac:dyDescent="0.25">
      <c r="B7" s="3">
        <v>44286</v>
      </c>
      <c r="C7" s="3">
        <v>44377</v>
      </c>
      <c r="D7" s="3">
        <v>44469</v>
      </c>
      <c r="E7" s="3">
        <v>44561</v>
      </c>
      <c r="F7" s="3">
        <v>44651</v>
      </c>
      <c r="G7" s="3">
        <v>44742</v>
      </c>
      <c r="H7" s="3">
        <v>44834</v>
      </c>
      <c r="I7" s="3">
        <v>44926</v>
      </c>
      <c r="J7" s="3">
        <v>45016</v>
      </c>
      <c r="K7" s="3">
        <v>45107</v>
      </c>
      <c r="L7" s="3">
        <v>45199</v>
      </c>
      <c r="M7" s="3">
        <v>45291</v>
      </c>
      <c r="N7" s="3">
        <v>45382</v>
      </c>
      <c r="O7" s="3">
        <v>45473</v>
      </c>
      <c r="P7" s="3">
        <v>45565</v>
      </c>
      <c r="Q7" s="3">
        <v>45657</v>
      </c>
    </row>
    <row r="8" spans="1:112" s="4" customFormat="1" x14ac:dyDescent="0.25">
      <c r="B8" s="4" t="s">
        <v>31</v>
      </c>
      <c r="C8" s="4" t="s">
        <v>35</v>
      </c>
      <c r="D8" s="4" t="s">
        <v>30</v>
      </c>
      <c r="E8" s="4" t="s">
        <v>34</v>
      </c>
      <c r="F8" s="4" t="s">
        <v>28</v>
      </c>
      <c r="G8" s="4" t="s">
        <v>22</v>
      </c>
      <c r="H8" s="4" t="s">
        <v>29</v>
      </c>
      <c r="I8" s="4" t="s">
        <v>32</v>
      </c>
      <c r="J8" s="4" t="s">
        <v>28</v>
      </c>
      <c r="K8" s="4" t="s">
        <v>22</v>
      </c>
      <c r="L8" s="7" t="s">
        <v>19</v>
      </c>
      <c r="M8" s="4" t="s">
        <v>33</v>
      </c>
      <c r="N8" s="4" t="s">
        <v>27</v>
      </c>
      <c r="O8" s="4" t="s">
        <v>21</v>
      </c>
      <c r="P8" s="4" t="s">
        <v>6</v>
      </c>
      <c r="Q8" s="4" t="s">
        <v>39</v>
      </c>
      <c r="U8">
        <v>2011</v>
      </c>
      <c r="V8">
        <v>2012</v>
      </c>
      <c r="W8">
        <v>2013</v>
      </c>
      <c r="X8">
        <v>2014</v>
      </c>
      <c r="Y8">
        <v>2015</v>
      </c>
      <c r="Z8">
        <v>2016</v>
      </c>
      <c r="AA8">
        <v>2017</v>
      </c>
      <c r="AB8">
        <v>2018</v>
      </c>
      <c r="AC8">
        <v>2019</v>
      </c>
      <c r="AD8">
        <v>2020</v>
      </c>
      <c r="AE8">
        <v>2021</v>
      </c>
      <c r="AF8">
        <v>2022</v>
      </c>
      <c r="AG8">
        <v>2023</v>
      </c>
      <c r="AH8">
        <v>2024</v>
      </c>
      <c r="AI8">
        <v>2025</v>
      </c>
      <c r="AJ8">
        <v>2026</v>
      </c>
      <c r="AK8">
        <v>2027</v>
      </c>
      <c r="AL8">
        <v>2028</v>
      </c>
      <c r="AM8">
        <v>2029</v>
      </c>
      <c r="AN8">
        <v>2030</v>
      </c>
      <c r="AO8">
        <v>2031</v>
      </c>
      <c r="AP8">
        <v>2032</v>
      </c>
      <c r="AQ8">
        <v>2033</v>
      </c>
      <c r="AR8">
        <v>2034</v>
      </c>
      <c r="AS8">
        <v>2035</v>
      </c>
      <c r="AT8">
        <v>2036</v>
      </c>
      <c r="AU8">
        <v>2037</v>
      </c>
      <c r="AV8">
        <v>2038</v>
      </c>
      <c r="AW8">
        <v>2039</v>
      </c>
      <c r="AX8">
        <v>2040</v>
      </c>
      <c r="AY8">
        <v>2041</v>
      </c>
      <c r="AZ8">
        <v>2042</v>
      </c>
      <c r="BA8">
        <v>2043</v>
      </c>
      <c r="BB8">
        <v>2044</v>
      </c>
      <c r="BC8">
        <v>2045</v>
      </c>
      <c r="BD8">
        <v>2046</v>
      </c>
      <c r="BE8">
        <v>2047</v>
      </c>
      <c r="BF8">
        <v>2048</v>
      </c>
      <c r="BG8">
        <v>2049</v>
      </c>
      <c r="BH8">
        <v>2050</v>
      </c>
      <c r="BI8">
        <v>2051</v>
      </c>
      <c r="BJ8">
        <v>2052</v>
      </c>
      <c r="BK8">
        <v>2053</v>
      </c>
      <c r="BL8">
        <v>2054</v>
      </c>
      <c r="BM8">
        <v>2055</v>
      </c>
      <c r="BN8">
        <v>2056</v>
      </c>
      <c r="BO8">
        <v>2057</v>
      </c>
      <c r="BP8">
        <v>2058</v>
      </c>
      <c r="BQ8">
        <v>2059</v>
      </c>
      <c r="BR8">
        <v>2060</v>
      </c>
      <c r="BS8">
        <v>2061</v>
      </c>
      <c r="BT8">
        <v>2062</v>
      </c>
      <c r="BU8">
        <v>2063</v>
      </c>
      <c r="BV8">
        <v>2064</v>
      </c>
      <c r="BW8">
        <v>2065</v>
      </c>
      <c r="BX8">
        <v>2066</v>
      </c>
      <c r="BY8">
        <v>2067</v>
      </c>
      <c r="BZ8">
        <v>2068</v>
      </c>
      <c r="CA8">
        <v>2069</v>
      </c>
      <c r="CB8">
        <v>2070</v>
      </c>
      <c r="CC8">
        <v>2071</v>
      </c>
      <c r="CD8">
        <v>2072</v>
      </c>
      <c r="CE8">
        <v>2073</v>
      </c>
      <c r="CF8">
        <v>2074</v>
      </c>
      <c r="CG8">
        <v>2075</v>
      </c>
      <c r="CH8">
        <v>2076</v>
      </c>
      <c r="CI8">
        <v>2077</v>
      </c>
      <c r="CJ8">
        <v>2078</v>
      </c>
      <c r="CK8">
        <v>2079</v>
      </c>
      <c r="CL8">
        <v>2080</v>
      </c>
      <c r="CM8">
        <v>2081</v>
      </c>
      <c r="CN8">
        <v>2082</v>
      </c>
      <c r="CO8">
        <v>2083</v>
      </c>
      <c r="CP8">
        <v>2084</v>
      </c>
      <c r="CQ8">
        <v>2085</v>
      </c>
      <c r="CR8">
        <v>2086</v>
      </c>
      <c r="CS8">
        <v>2087</v>
      </c>
      <c r="CT8">
        <v>2088</v>
      </c>
      <c r="CU8">
        <v>2089</v>
      </c>
      <c r="CV8">
        <v>2090</v>
      </c>
      <c r="CW8">
        <v>2091</v>
      </c>
      <c r="CX8">
        <v>2092</v>
      </c>
      <c r="CY8">
        <v>2093</v>
      </c>
      <c r="CZ8">
        <v>2094</v>
      </c>
      <c r="DA8">
        <v>2095</v>
      </c>
      <c r="DB8">
        <v>2096</v>
      </c>
      <c r="DC8">
        <v>2097</v>
      </c>
      <c r="DD8">
        <v>2098</v>
      </c>
      <c r="DE8">
        <v>2099</v>
      </c>
      <c r="DF8">
        <v>2100</v>
      </c>
      <c r="DG8">
        <v>2101</v>
      </c>
      <c r="DH8">
        <v>2102</v>
      </c>
    </row>
    <row r="9" spans="1:112" x14ac:dyDescent="0.25">
      <c r="A9" t="s">
        <v>7</v>
      </c>
      <c r="B9" s="1">
        <v>242</v>
      </c>
      <c r="C9" s="1">
        <v>369</v>
      </c>
      <c r="D9" s="1">
        <v>451</v>
      </c>
      <c r="E9" s="1">
        <f>1493-D9-C9-B9</f>
        <v>431</v>
      </c>
      <c r="F9" s="1">
        <v>413</v>
      </c>
      <c r="G9" s="1">
        <v>545</v>
      </c>
      <c r="H9" s="1">
        <v>573</v>
      </c>
      <c r="I9" s="1">
        <f>2068-H9-G9-F9</f>
        <v>537</v>
      </c>
      <c r="J9" s="1">
        <v>508</v>
      </c>
      <c r="K9" s="1">
        <v>618</v>
      </c>
      <c r="L9" s="1">
        <v>643</v>
      </c>
      <c r="M9" s="1">
        <f>2370-L9-K9-J9</f>
        <v>601</v>
      </c>
      <c r="N9" s="1">
        <v>571</v>
      </c>
      <c r="O9" s="1">
        <v>689</v>
      </c>
      <c r="P9" s="1">
        <v>698</v>
      </c>
      <c r="Q9" s="1">
        <f>2600-P9-N9-O9</f>
        <v>642</v>
      </c>
    </row>
    <row r="10" spans="1:112" x14ac:dyDescent="0.25">
      <c r="A10" t="s">
        <v>8</v>
      </c>
      <c r="B10" s="1">
        <v>25</v>
      </c>
      <c r="C10" s="1">
        <v>42</v>
      </c>
      <c r="D10" s="1">
        <v>49</v>
      </c>
      <c r="E10" s="1">
        <f>176-D10-C10-B10</f>
        <v>60</v>
      </c>
      <c r="F10" s="1">
        <v>55</v>
      </c>
      <c r="G10" s="1">
        <v>75</v>
      </c>
      <c r="H10" s="1">
        <v>76</v>
      </c>
      <c r="I10" s="1">
        <f>294-H10-G10-F10</f>
        <v>88</v>
      </c>
      <c r="J10" s="1">
        <v>80</v>
      </c>
      <c r="K10" s="1">
        <v>86</v>
      </c>
      <c r="L10" s="1">
        <v>81</v>
      </c>
      <c r="M10" s="1">
        <f>342-L10-K10-J10</f>
        <v>95</v>
      </c>
      <c r="N10" s="1">
        <v>106</v>
      </c>
      <c r="O10" s="1">
        <v>93</v>
      </c>
      <c r="P10" s="1">
        <v>88</v>
      </c>
      <c r="Q10" s="1">
        <f>369-P10-N10-O10</f>
        <v>82</v>
      </c>
    </row>
    <row r="11" spans="1:112" x14ac:dyDescent="0.25">
      <c r="A11" t="s">
        <v>9</v>
      </c>
      <c r="B11" s="1">
        <v>13</v>
      </c>
      <c r="C11" s="1">
        <v>21</v>
      </c>
      <c r="D11" s="1">
        <v>26</v>
      </c>
      <c r="E11" s="1">
        <f>98-C11-B11-D11</f>
        <v>38</v>
      </c>
      <c r="F11" s="1">
        <v>34</v>
      </c>
      <c r="G11" s="1">
        <v>46</v>
      </c>
      <c r="H11" s="1">
        <v>52</v>
      </c>
      <c r="I11" s="1">
        <f>196-G11-F11-H11</f>
        <v>64</v>
      </c>
      <c r="J11" s="1">
        <v>65</v>
      </c>
      <c r="K11" s="1">
        <v>69</v>
      </c>
      <c r="L11" s="1">
        <v>63</v>
      </c>
      <c r="M11" s="1">
        <f>274-K11-J11-L11</f>
        <v>77</v>
      </c>
      <c r="N11" s="1">
        <v>70</v>
      </c>
      <c r="O11" s="1">
        <v>68</v>
      </c>
      <c r="P11" s="1">
        <v>66</v>
      </c>
      <c r="Q11" s="1">
        <f>290-P11-O11-N11</f>
        <v>86</v>
      </c>
    </row>
    <row r="12" spans="1:112" x14ac:dyDescent="0.25">
      <c r="A12" t="s">
        <v>10</v>
      </c>
      <c r="B12" s="1">
        <v>56</v>
      </c>
      <c r="C12" s="1">
        <v>121</v>
      </c>
      <c r="D12" s="1">
        <v>199</v>
      </c>
      <c r="E12" s="1">
        <f>598-D12-C12-B12</f>
        <v>222</v>
      </c>
      <c r="F12" s="1">
        <v>150</v>
      </c>
      <c r="G12" s="1">
        <v>282</v>
      </c>
      <c r="H12" s="1">
        <v>295</v>
      </c>
      <c r="I12" s="1">
        <f>1076-H12-G12-F12</f>
        <v>349</v>
      </c>
      <c r="J12" s="1">
        <v>248</v>
      </c>
      <c r="K12" s="1">
        <v>341</v>
      </c>
      <c r="L12" s="1">
        <v>335</v>
      </c>
      <c r="M12" s="1">
        <f>1244-L12-K12-J12</f>
        <v>320</v>
      </c>
      <c r="N12" s="1">
        <v>255</v>
      </c>
      <c r="O12" s="1">
        <v>337</v>
      </c>
      <c r="P12" s="1">
        <v>330</v>
      </c>
      <c r="Q12" s="1">
        <f>1255-P12-O12-N12</f>
        <v>333</v>
      </c>
    </row>
    <row r="13" spans="1:112" x14ac:dyDescent="0.25">
      <c r="A13" t="s">
        <v>11</v>
      </c>
      <c r="B13" s="1">
        <f>17+521</f>
        <v>538</v>
      </c>
      <c r="C13" s="1">
        <f>21+755</f>
        <v>776</v>
      </c>
      <c r="D13" s="1">
        <f>18+1006</f>
        <v>1024</v>
      </c>
      <c r="E13" s="1">
        <f>79+3344-D13-C13-B13</f>
        <v>1085</v>
      </c>
      <c r="F13" s="1">
        <f>18+1051</f>
        <v>1069</v>
      </c>
      <c r="G13" s="1">
        <f>25+1267</f>
        <v>1292</v>
      </c>
      <c r="H13" s="1">
        <f>28+1344</f>
        <v>1372</v>
      </c>
      <c r="I13" s="1">
        <f>102+5037-H13-G13-F13</f>
        <v>1406</v>
      </c>
      <c r="J13" s="1">
        <f>35+1357</f>
        <v>1392</v>
      </c>
      <c r="K13" s="1">
        <f>46+1500</f>
        <v>1546</v>
      </c>
      <c r="L13" s="1">
        <f>45+1506</f>
        <v>1551</v>
      </c>
      <c r="M13" s="1">
        <f>178+5827-L13-K13-J13</f>
        <v>1516</v>
      </c>
      <c r="N13" s="1">
        <f>50+1521</f>
        <v>1571</v>
      </c>
      <c r="O13" s="1">
        <f>71+1693</f>
        <v>1764</v>
      </c>
      <c r="P13" s="1">
        <f>58+1627</f>
        <v>1685</v>
      </c>
      <c r="Q13" s="1">
        <f>6428+232-P13-O13-N13</f>
        <v>1640</v>
      </c>
    </row>
    <row r="14" spans="1:112" s="2" customFormat="1" x14ac:dyDescent="0.25">
      <c r="A14" s="2" t="s">
        <v>12</v>
      </c>
      <c r="B14" s="5">
        <f t="shared" ref="B14:Q14" si="0">SUM(B9:B13)</f>
        <v>874</v>
      </c>
      <c r="C14" s="5">
        <f t="shared" si="0"/>
        <v>1329</v>
      </c>
      <c r="D14" s="5">
        <f t="shared" si="0"/>
        <v>1749</v>
      </c>
      <c r="E14" s="5">
        <f t="shared" si="0"/>
        <v>1836</v>
      </c>
      <c r="F14" s="5">
        <f t="shared" si="0"/>
        <v>1721</v>
      </c>
      <c r="G14" s="5">
        <f t="shared" si="0"/>
        <v>2240</v>
      </c>
      <c r="H14" s="5">
        <f t="shared" si="0"/>
        <v>2368</v>
      </c>
      <c r="I14" s="5">
        <f t="shared" si="0"/>
        <v>2444</v>
      </c>
      <c r="J14" s="5">
        <f t="shared" si="0"/>
        <v>2293</v>
      </c>
      <c r="K14" s="5">
        <f t="shared" si="0"/>
        <v>2660</v>
      </c>
      <c r="L14" s="5">
        <f t="shared" si="0"/>
        <v>2673</v>
      </c>
      <c r="M14" s="5">
        <f t="shared" si="0"/>
        <v>2609</v>
      </c>
      <c r="N14" s="5">
        <f t="shared" si="0"/>
        <v>2573</v>
      </c>
      <c r="O14" s="5">
        <f t="shared" si="0"/>
        <v>2951</v>
      </c>
      <c r="P14" s="5">
        <f t="shared" si="0"/>
        <v>2867</v>
      </c>
      <c r="Q14" s="5">
        <f t="shared" si="0"/>
        <v>2783</v>
      </c>
      <c r="U14" s="2">
        <v>8783</v>
      </c>
      <c r="V14" s="2">
        <v>9276</v>
      </c>
      <c r="W14" s="2">
        <v>9735</v>
      </c>
      <c r="X14" s="2">
        <v>10502</v>
      </c>
      <c r="Y14" s="2">
        <v>7144</v>
      </c>
      <c r="Z14" s="2">
        <v>6576</v>
      </c>
      <c r="AA14" s="2">
        <v>8131</v>
      </c>
      <c r="AB14" s="2">
        <v>8906</v>
      </c>
      <c r="AC14" s="2">
        <v>9452</v>
      </c>
      <c r="AD14" s="2">
        <v>4307</v>
      </c>
      <c r="AE14" s="2">
        <v>5788</v>
      </c>
      <c r="AF14" s="2">
        <v>8773</v>
      </c>
      <c r="AG14" s="2">
        <v>10235</v>
      </c>
      <c r="AH14" s="5">
        <f>SUM(N14:Q14)</f>
        <v>11174</v>
      </c>
      <c r="AI14" s="2">
        <f>AH14*1.1</f>
        <v>12291.400000000001</v>
      </c>
      <c r="AJ14" s="2">
        <f t="shared" ref="AJ14:AN14" si="1">AI14*1.1</f>
        <v>13520.540000000003</v>
      </c>
      <c r="AK14" s="2">
        <f t="shared" si="1"/>
        <v>14872.594000000005</v>
      </c>
      <c r="AL14" s="2">
        <f t="shared" si="1"/>
        <v>16359.853400000007</v>
      </c>
      <c r="AM14" s="2">
        <f t="shared" si="1"/>
        <v>17995.83874000001</v>
      </c>
      <c r="AN14" s="2">
        <f t="shared" si="1"/>
        <v>19795.422614000014</v>
      </c>
    </row>
    <row r="15" spans="1:112" x14ac:dyDescent="0.25">
      <c r="A15" t="s">
        <v>13</v>
      </c>
      <c r="B15" s="1">
        <v>853</v>
      </c>
      <c r="C15" s="1">
        <v>1105</v>
      </c>
      <c r="D15" s="1">
        <v>1309</v>
      </c>
      <c r="E15" s="1">
        <f>4771-D15-C15-B15</f>
        <v>1504</v>
      </c>
      <c r="F15" s="1">
        <v>1352</v>
      </c>
      <c r="G15" s="1">
        <v>1642</v>
      </c>
      <c r="H15" s="1">
        <v>1745</v>
      </c>
      <c r="I15" s="1">
        <f>6679-H15-G15-F15</f>
        <v>1940</v>
      </c>
      <c r="J15" s="1">
        <v>1795</v>
      </c>
      <c r="K15" s="1">
        <v>1986</v>
      </c>
      <c r="L15" s="1">
        <v>2020</v>
      </c>
      <c r="M15" s="1">
        <f>8010-L15-K15-J15</f>
        <v>2209</v>
      </c>
      <c r="N15" s="1">
        <v>2047</v>
      </c>
      <c r="O15" s="1">
        <v>2226</v>
      </c>
      <c r="P15" s="1">
        <v>2242</v>
      </c>
      <c r="Q15" s="1">
        <f>8809-P15-O15-N15</f>
        <v>2294</v>
      </c>
    </row>
    <row r="16" spans="1:112" x14ac:dyDescent="0.25">
      <c r="A16" t="s">
        <v>14</v>
      </c>
      <c r="B16" s="1">
        <f t="shared" ref="B16:Q16" si="2">B14-B15</f>
        <v>21</v>
      </c>
      <c r="C16" s="1">
        <f t="shared" si="2"/>
        <v>224</v>
      </c>
      <c r="D16" s="1">
        <f t="shared" si="2"/>
        <v>440</v>
      </c>
      <c r="E16" s="1">
        <f t="shared" si="2"/>
        <v>332</v>
      </c>
      <c r="F16" s="1">
        <f t="shared" si="2"/>
        <v>369</v>
      </c>
      <c r="G16" s="1">
        <f t="shared" si="2"/>
        <v>598</v>
      </c>
      <c r="H16" s="1">
        <f t="shared" si="2"/>
        <v>623</v>
      </c>
      <c r="I16" s="1">
        <f t="shared" si="2"/>
        <v>504</v>
      </c>
      <c r="J16" s="1">
        <f t="shared" si="2"/>
        <v>498</v>
      </c>
      <c r="K16" s="1">
        <f t="shared" si="2"/>
        <v>674</v>
      </c>
      <c r="L16" s="1">
        <f t="shared" si="2"/>
        <v>653</v>
      </c>
      <c r="M16" s="1">
        <f t="shared" si="2"/>
        <v>400</v>
      </c>
      <c r="N16" s="1">
        <f t="shared" si="2"/>
        <v>526</v>
      </c>
      <c r="O16" s="1">
        <f t="shared" si="2"/>
        <v>725</v>
      </c>
      <c r="P16" s="1">
        <f t="shared" si="2"/>
        <v>625</v>
      </c>
      <c r="Q16" s="1">
        <f t="shared" si="2"/>
        <v>489</v>
      </c>
      <c r="AH16" s="5">
        <f>SUM(N16:Q16)</f>
        <v>2365</v>
      </c>
    </row>
    <row r="17" spans="1:122" x14ac:dyDescent="0.25">
      <c r="A17" t="s">
        <v>15</v>
      </c>
      <c r="B17" s="1">
        <v>-103</v>
      </c>
      <c r="C17" s="1">
        <v>-101</v>
      </c>
      <c r="D17" s="1">
        <v>-98</v>
      </c>
      <c r="E17" s="1">
        <f>-397-D17-C17-B17</f>
        <v>-95</v>
      </c>
      <c r="F17" s="1">
        <v>-90</v>
      </c>
      <c r="G17" s="1">
        <v>-99</v>
      </c>
      <c r="H17" s="1">
        <v>-106</v>
      </c>
      <c r="I17" s="1">
        <f>-415-H17-G17-F17</f>
        <v>-120</v>
      </c>
      <c r="J17" s="1">
        <v>-116</v>
      </c>
      <c r="K17" s="1">
        <v>-111</v>
      </c>
      <c r="L17" s="1">
        <v>-113</v>
      </c>
      <c r="M17" s="1">
        <f>-464-L17-K17-J17</f>
        <v>-124</v>
      </c>
      <c r="N17" s="1">
        <v>-131</v>
      </c>
      <c r="O17" s="1">
        <v>-141</v>
      </c>
      <c r="P17" s="1">
        <f>-140</f>
        <v>-140</v>
      </c>
      <c r="Q17" s="1">
        <f>-569-P17-O17-N17</f>
        <v>-157</v>
      </c>
    </row>
    <row r="18" spans="1:122" x14ac:dyDescent="0.25">
      <c r="A18" t="s">
        <v>16</v>
      </c>
      <c r="B18" s="1">
        <f t="shared" ref="B18:Q18" si="3">B16+B17</f>
        <v>-82</v>
      </c>
      <c r="C18" s="1">
        <f t="shared" si="3"/>
        <v>123</v>
      </c>
      <c r="D18" s="1">
        <f t="shared" si="3"/>
        <v>342</v>
      </c>
      <c r="E18" s="1">
        <f t="shared" si="3"/>
        <v>237</v>
      </c>
      <c r="F18" s="1">
        <f t="shared" si="3"/>
        <v>279</v>
      </c>
      <c r="G18" s="1">
        <f t="shared" si="3"/>
        <v>499</v>
      </c>
      <c r="H18" s="1">
        <f t="shared" si="3"/>
        <v>517</v>
      </c>
      <c r="I18" s="1">
        <f t="shared" si="3"/>
        <v>384</v>
      </c>
      <c r="J18" s="1">
        <f t="shared" si="3"/>
        <v>382</v>
      </c>
      <c r="K18" s="1">
        <f t="shared" si="3"/>
        <v>563</v>
      </c>
      <c r="L18" s="1">
        <f t="shared" si="3"/>
        <v>540</v>
      </c>
      <c r="M18" s="1">
        <f t="shared" si="3"/>
        <v>276</v>
      </c>
      <c r="N18" s="1">
        <f t="shared" si="3"/>
        <v>395</v>
      </c>
      <c r="O18" s="1">
        <f t="shared" si="3"/>
        <v>584</v>
      </c>
      <c r="P18" s="1">
        <f t="shared" si="3"/>
        <v>485</v>
      </c>
      <c r="Q18" s="1">
        <f t="shared" si="3"/>
        <v>332</v>
      </c>
    </row>
    <row r="19" spans="1:122" x14ac:dyDescent="0.25">
      <c r="A19" t="s">
        <v>17</v>
      </c>
      <c r="B19" s="1">
        <v>35</v>
      </c>
      <c r="C19" s="1">
        <v>1</v>
      </c>
      <c r="D19" s="1">
        <v>-100</v>
      </c>
      <c r="E19" s="1">
        <f>-153-D19-B19-C19</f>
        <v>-89</v>
      </c>
      <c r="F19" s="1">
        <v>-80</v>
      </c>
      <c r="G19" s="1">
        <v>-146</v>
      </c>
      <c r="H19" s="1">
        <v>-181</v>
      </c>
      <c r="I19" s="1">
        <f>-477-H19-F19-G19</f>
        <v>-70</v>
      </c>
      <c r="J19" s="1">
        <v>-93</v>
      </c>
      <c r="K19" s="1">
        <v>-155</v>
      </c>
      <c r="L19" s="1">
        <v>-169</v>
      </c>
      <c r="M19" s="1">
        <f>-541-L19-J19-K19</f>
        <v>-124</v>
      </c>
      <c r="N19" s="1">
        <v>-97</v>
      </c>
      <c r="O19" s="1">
        <v>-169</v>
      </c>
      <c r="P19" s="1">
        <v>-147</v>
      </c>
      <c r="Q19" s="1">
        <f>-244-P19-O19-N19</f>
        <v>169</v>
      </c>
    </row>
    <row r="20" spans="1:122" x14ac:dyDescent="0.25">
      <c r="A20" t="s">
        <v>18</v>
      </c>
      <c r="B20" s="1">
        <f t="shared" ref="B20:Q20" si="4">B18+B19</f>
        <v>-47</v>
      </c>
      <c r="C20" s="1">
        <f t="shared" si="4"/>
        <v>124</v>
      </c>
      <c r="D20" s="1">
        <f t="shared" si="4"/>
        <v>242</v>
      </c>
      <c r="E20" s="1">
        <f t="shared" si="4"/>
        <v>148</v>
      </c>
      <c r="F20" s="1">
        <f t="shared" si="4"/>
        <v>199</v>
      </c>
      <c r="G20" s="1">
        <f t="shared" si="4"/>
        <v>353</v>
      </c>
      <c r="H20" s="1">
        <f t="shared" si="4"/>
        <v>336</v>
      </c>
      <c r="I20" s="1">
        <f t="shared" si="4"/>
        <v>314</v>
      </c>
      <c r="J20" s="1">
        <f t="shared" si="4"/>
        <v>289</v>
      </c>
      <c r="K20" s="1">
        <f t="shared" si="4"/>
        <v>408</v>
      </c>
      <c r="L20" s="1">
        <f t="shared" si="4"/>
        <v>371</v>
      </c>
      <c r="M20" s="1">
        <f t="shared" si="4"/>
        <v>152</v>
      </c>
      <c r="N20" s="1">
        <f t="shared" si="4"/>
        <v>298</v>
      </c>
      <c r="O20" s="1">
        <f t="shared" si="4"/>
        <v>415</v>
      </c>
      <c r="P20" s="1">
        <f t="shared" si="4"/>
        <v>338</v>
      </c>
      <c r="Q20" s="1">
        <f t="shared" si="4"/>
        <v>501</v>
      </c>
      <c r="AE20" s="1">
        <f>SUM(B20:E20)</f>
        <v>467</v>
      </c>
      <c r="AF20" s="1">
        <f>SUM(F20:I20)</f>
        <v>1202</v>
      </c>
      <c r="AG20" s="1">
        <f>SUM(J20:M20)</f>
        <v>1220</v>
      </c>
      <c r="AH20" s="1">
        <f>SUM(N20:Q20)</f>
        <v>1552</v>
      </c>
      <c r="AI20" s="1">
        <f>AI26*AI14</f>
        <v>1843.71</v>
      </c>
      <c r="AJ20" s="1">
        <f t="shared" ref="AJ20:AN20" si="5">AJ26*AJ14</f>
        <v>2028.0810000000004</v>
      </c>
      <c r="AK20" s="1">
        <f t="shared" si="5"/>
        <v>2230.8891000000008</v>
      </c>
      <c r="AL20" s="1">
        <f t="shared" si="5"/>
        <v>2453.9780100000012</v>
      </c>
      <c r="AM20" s="1">
        <f t="shared" si="5"/>
        <v>2699.3758110000012</v>
      </c>
      <c r="AN20" s="1">
        <f t="shared" si="5"/>
        <v>2969.3133921000021</v>
      </c>
      <c r="AO20" s="1">
        <f>AN20*1.03</f>
        <v>3058.3927938630022</v>
      </c>
      <c r="AP20" s="1">
        <f t="shared" ref="AP20:DA20" si="6">AO20*1.03</f>
        <v>3150.1445776788923</v>
      </c>
      <c r="AQ20" s="1">
        <f t="shared" si="6"/>
        <v>3244.6489150092593</v>
      </c>
      <c r="AR20" s="1">
        <f t="shared" si="6"/>
        <v>3341.9883824595372</v>
      </c>
      <c r="AS20" s="1">
        <f t="shared" si="6"/>
        <v>3442.2480339333233</v>
      </c>
      <c r="AT20" s="1">
        <f t="shared" si="6"/>
        <v>3545.5154749513231</v>
      </c>
      <c r="AU20" s="1">
        <f t="shared" si="6"/>
        <v>3651.880939199863</v>
      </c>
      <c r="AV20" s="1">
        <f t="shared" si="6"/>
        <v>3761.4373673758591</v>
      </c>
      <c r="AW20" s="1">
        <f t="shared" si="6"/>
        <v>3874.2804883971348</v>
      </c>
      <c r="AX20" s="1">
        <f t="shared" si="6"/>
        <v>3990.508903049049</v>
      </c>
      <c r="AY20" s="1">
        <f t="shared" si="6"/>
        <v>4110.224170140521</v>
      </c>
      <c r="AZ20" s="1">
        <f t="shared" si="6"/>
        <v>4233.5308952447367</v>
      </c>
      <c r="BA20" s="1">
        <f t="shared" si="6"/>
        <v>4360.536822102079</v>
      </c>
      <c r="BB20" s="1">
        <f t="shared" si="6"/>
        <v>4491.3529267651411</v>
      </c>
      <c r="BC20" s="1">
        <f t="shared" si="6"/>
        <v>4626.0935145680951</v>
      </c>
      <c r="BD20" s="1">
        <f t="shared" si="6"/>
        <v>4764.876320005138</v>
      </c>
      <c r="BE20" s="1">
        <f t="shared" si="6"/>
        <v>4907.8226096052922</v>
      </c>
      <c r="BF20" s="1">
        <f t="shared" si="6"/>
        <v>5055.0572878934508</v>
      </c>
      <c r="BG20" s="1">
        <f t="shared" si="6"/>
        <v>5206.7090065302546</v>
      </c>
      <c r="BH20" s="1">
        <f t="shared" si="6"/>
        <v>5362.910276726162</v>
      </c>
      <c r="BI20" s="1">
        <f t="shared" si="6"/>
        <v>5523.7975850279472</v>
      </c>
      <c r="BJ20" s="1">
        <f t="shared" si="6"/>
        <v>5689.5115125787861</v>
      </c>
      <c r="BK20" s="1">
        <f t="shared" si="6"/>
        <v>5860.1968579561499</v>
      </c>
      <c r="BL20" s="1">
        <f t="shared" si="6"/>
        <v>6036.0027636948344</v>
      </c>
      <c r="BM20" s="1">
        <f t="shared" si="6"/>
        <v>6217.0828466056792</v>
      </c>
      <c r="BN20" s="1">
        <f t="shared" si="6"/>
        <v>6403.5953320038498</v>
      </c>
      <c r="BO20" s="1">
        <f t="shared" si="6"/>
        <v>6595.7031919639658</v>
      </c>
      <c r="BP20" s="1">
        <f t="shared" si="6"/>
        <v>6793.5742877228849</v>
      </c>
      <c r="BQ20" s="1">
        <f t="shared" si="6"/>
        <v>6997.3815163545714</v>
      </c>
      <c r="BR20" s="1">
        <f t="shared" si="6"/>
        <v>7207.3029618452092</v>
      </c>
      <c r="BS20" s="1">
        <f t="shared" si="6"/>
        <v>7423.5220507005661</v>
      </c>
      <c r="BT20" s="1">
        <f t="shared" si="6"/>
        <v>7646.2277122215828</v>
      </c>
      <c r="BU20" s="1">
        <f t="shared" si="6"/>
        <v>7875.6145435882308</v>
      </c>
      <c r="BV20" s="1">
        <f t="shared" si="6"/>
        <v>8111.8829798958777</v>
      </c>
      <c r="BW20" s="1">
        <f t="shared" si="6"/>
        <v>8355.2394692927537</v>
      </c>
      <c r="BX20" s="1">
        <f t="shared" si="6"/>
        <v>8605.8966533715356</v>
      </c>
      <c r="BY20" s="1">
        <f t="shared" si="6"/>
        <v>8864.0735529726826</v>
      </c>
      <c r="BZ20" s="1">
        <f t="shared" si="6"/>
        <v>9129.9957595618635</v>
      </c>
      <c r="CA20" s="1">
        <f t="shared" si="6"/>
        <v>9403.89563234872</v>
      </c>
      <c r="CB20" s="1">
        <f t="shared" si="6"/>
        <v>9686.0125013191828</v>
      </c>
      <c r="CC20" s="1">
        <f t="shared" si="6"/>
        <v>9976.5928763587581</v>
      </c>
      <c r="CD20" s="1">
        <f t="shared" si="6"/>
        <v>10275.890662649521</v>
      </c>
      <c r="CE20" s="1">
        <f t="shared" si="6"/>
        <v>10584.167382529007</v>
      </c>
      <c r="CF20" s="1">
        <f t="shared" si="6"/>
        <v>10901.692404004878</v>
      </c>
      <c r="CG20" s="1">
        <f t="shared" si="6"/>
        <v>11228.743176125025</v>
      </c>
      <c r="CH20" s="1">
        <f t="shared" si="6"/>
        <v>11565.605471408775</v>
      </c>
      <c r="CI20" s="1">
        <f t="shared" si="6"/>
        <v>11912.573635551038</v>
      </c>
      <c r="CJ20" s="1">
        <f t="shared" si="6"/>
        <v>12269.95084461757</v>
      </c>
      <c r="CK20" s="1">
        <f t="shared" si="6"/>
        <v>12638.049369956098</v>
      </c>
      <c r="CL20" s="1">
        <f t="shared" si="6"/>
        <v>13017.19085105478</v>
      </c>
      <c r="CM20" s="1">
        <f t="shared" si="6"/>
        <v>13407.706576586424</v>
      </c>
      <c r="CN20" s="1">
        <f t="shared" si="6"/>
        <v>13809.937773884018</v>
      </c>
      <c r="CO20" s="1">
        <f t="shared" si="6"/>
        <v>14224.235907100538</v>
      </c>
      <c r="CP20" s="1">
        <f t="shared" si="6"/>
        <v>14650.962984313554</v>
      </c>
      <c r="CQ20" s="1">
        <f t="shared" si="6"/>
        <v>15090.491873842961</v>
      </c>
      <c r="CR20" s="1">
        <f t="shared" si="6"/>
        <v>15543.20663005825</v>
      </c>
      <c r="CS20" s="1">
        <f t="shared" si="6"/>
        <v>16009.502828959998</v>
      </c>
      <c r="CT20" s="1">
        <f t="shared" si="6"/>
        <v>16489.787913828797</v>
      </c>
      <c r="CU20" s="1">
        <f t="shared" si="6"/>
        <v>16984.481551243662</v>
      </c>
      <c r="CV20" s="1">
        <f t="shared" si="6"/>
        <v>17494.015997780971</v>
      </c>
      <c r="CW20" s="1">
        <f t="shared" si="6"/>
        <v>18018.836477714402</v>
      </c>
      <c r="CX20" s="1">
        <f t="shared" si="6"/>
        <v>18559.401572045834</v>
      </c>
      <c r="CY20" s="1">
        <f t="shared" si="6"/>
        <v>19116.183619207208</v>
      </c>
      <c r="CZ20" s="1">
        <f t="shared" si="6"/>
        <v>19689.669127783425</v>
      </c>
      <c r="DA20" s="1">
        <f t="shared" si="6"/>
        <v>20280.359201616928</v>
      </c>
      <c r="DB20" s="1">
        <f t="shared" ref="DB20:DR20" si="7">DA20*1.03</f>
        <v>20888.769977665437</v>
      </c>
      <c r="DC20" s="1">
        <f t="shared" si="7"/>
        <v>21515.433076995399</v>
      </c>
      <c r="DD20" s="1">
        <f t="shared" si="7"/>
        <v>22160.896069305261</v>
      </c>
      <c r="DE20" s="1">
        <f t="shared" si="7"/>
        <v>22825.722951384421</v>
      </c>
      <c r="DF20" s="1">
        <f t="shared" si="7"/>
        <v>23510.494639925953</v>
      </c>
      <c r="DG20" s="1">
        <f t="shared" si="7"/>
        <v>24215.809479123731</v>
      </c>
      <c r="DH20" s="1">
        <f t="shared" si="7"/>
        <v>24942.283763497442</v>
      </c>
      <c r="DI20" s="1">
        <f t="shared" si="7"/>
        <v>25690.552276402366</v>
      </c>
      <c r="DJ20" s="1">
        <f t="shared" si="7"/>
        <v>26461.268844694438</v>
      </c>
      <c r="DK20" s="1">
        <f t="shared" si="7"/>
        <v>27255.106910035272</v>
      </c>
      <c r="DL20" s="1">
        <f t="shared" si="7"/>
        <v>28072.760117336333</v>
      </c>
      <c r="DM20" s="1">
        <f t="shared" si="7"/>
        <v>28914.942920856425</v>
      </c>
      <c r="DN20" s="1">
        <f t="shared" si="7"/>
        <v>29782.39120848212</v>
      </c>
      <c r="DO20" s="1">
        <f t="shared" si="7"/>
        <v>30675.862944736586</v>
      </c>
      <c r="DP20" s="1">
        <f t="shared" si="7"/>
        <v>31596.138833078683</v>
      </c>
      <c r="DQ20" s="1">
        <f t="shared" si="7"/>
        <v>32544.022998071043</v>
      </c>
      <c r="DR20" s="1">
        <f t="shared" si="7"/>
        <v>33520.343688013178</v>
      </c>
    </row>
    <row r="21" spans="1:122" x14ac:dyDescent="0.25">
      <c r="A21" t="s">
        <v>20</v>
      </c>
      <c r="B21" s="6"/>
      <c r="C21" s="6"/>
      <c r="D21" s="6"/>
      <c r="E21" s="6">
        <f t="shared" ref="E21:Q21" si="8">E20/E22</f>
        <v>0.52424639580602883</v>
      </c>
      <c r="F21" s="6">
        <f t="shared" si="8"/>
        <v>0.7150300025151809</v>
      </c>
      <c r="G21" s="6">
        <f t="shared" si="8"/>
        <v>1.2869731339801012</v>
      </c>
      <c r="H21" s="6">
        <f t="shared" si="8"/>
        <v>1.2423462596503683</v>
      </c>
      <c r="I21" s="6">
        <f t="shared" si="8"/>
        <v>1.1736518888693697</v>
      </c>
      <c r="J21" s="6">
        <f t="shared" si="8"/>
        <v>1.0921073515074105</v>
      </c>
      <c r="K21" s="6">
        <f t="shared" si="8"/>
        <v>1.5601518853747234</v>
      </c>
      <c r="L21" s="6">
        <f t="shared" si="8"/>
        <v>1.4467321790672283</v>
      </c>
      <c r="M21" s="6">
        <f t="shared" si="8"/>
        <v>0.60279187817258884</v>
      </c>
      <c r="N21" s="6">
        <f t="shared" si="8"/>
        <v>1.1917807123489279</v>
      </c>
      <c r="O21" s="6">
        <f t="shared" si="8"/>
        <v>1.6840680471109069</v>
      </c>
      <c r="P21" s="6">
        <f t="shared" si="8"/>
        <v>1.3864971243762496</v>
      </c>
      <c r="Q21" s="6">
        <f t="shared" si="8"/>
        <v>2.0825625911900536</v>
      </c>
    </row>
    <row r="22" spans="1:122" s="1" customFormat="1" x14ac:dyDescent="0.25">
      <c r="A22" s="1" t="s">
        <v>1</v>
      </c>
      <c r="E22" s="1">
        <f>F22+4</f>
        <v>282.31</v>
      </c>
      <c r="F22" s="1">
        <v>278.31</v>
      </c>
      <c r="G22" s="1">
        <v>274.28699999999998</v>
      </c>
      <c r="H22" s="1">
        <v>270.45600000000002</v>
      </c>
      <c r="I22" s="1">
        <f>AVERAGE(H22,J22)</f>
        <v>267.541</v>
      </c>
      <c r="J22" s="1">
        <v>264.62599999999998</v>
      </c>
      <c r="K22" s="1">
        <v>261.51299999999998</v>
      </c>
      <c r="L22" s="1">
        <v>256.44</v>
      </c>
      <c r="M22" s="1">
        <v>252.16</v>
      </c>
      <c r="N22" s="1">
        <v>250.04599999999999</v>
      </c>
      <c r="O22" s="1">
        <v>246.427097</v>
      </c>
      <c r="P22" s="1">
        <v>243.77980600000001</v>
      </c>
      <c r="Q22" s="1">
        <v>240.56899999999999</v>
      </c>
      <c r="AH22" s="1">
        <v>240.56899999999999</v>
      </c>
    </row>
    <row r="23" spans="1:122" x14ac:dyDescent="0.25">
      <c r="AQ23" s="2"/>
    </row>
    <row r="24" spans="1:122" s="9" customFormat="1" x14ac:dyDescent="0.25">
      <c r="A24" s="9" t="s">
        <v>23</v>
      </c>
      <c r="F24" s="9">
        <f t="shared" ref="F24:Q24" si="9">F14/B14-1</f>
        <v>0.96910755148741412</v>
      </c>
      <c r="G24" s="9">
        <f t="shared" si="9"/>
        <v>0.68547780285929272</v>
      </c>
      <c r="H24" s="9">
        <f t="shared" si="9"/>
        <v>0.35391652372784455</v>
      </c>
      <c r="I24" s="9">
        <f t="shared" si="9"/>
        <v>0.33115468409586057</v>
      </c>
      <c r="J24" s="9">
        <f t="shared" si="9"/>
        <v>0.33236490412550834</v>
      </c>
      <c r="K24" s="9">
        <f t="shared" si="9"/>
        <v>0.1875</v>
      </c>
      <c r="L24" s="9">
        <f t="shared" si="9"/>
        <v>0.12880067567567566</v>
      </c>
      <c r="M24" s="9">
        <f t="shared" si="9"/>
        <v>6.7512274959083518E-2</v>
      </c>
      <c r="N24" s="9">
        <f t="shared" si="9"/>
        <v>0.12211077191452246</v>
      </c>
      <c r="O24" s="9">
        <f t="shared" si="9"/>
        <v>0.10939849624060161</v>
      </c>
      <c r="P24" s="9">
        <f t="shared" si="9"/>
        <v>7.257762813318358E-2</v>
      </c>
      <c r="Q24" s="9">
        <f t="shared" si="9"/>
        <v>6.6692219241088591E-2</v>
      </c>
      <c r="V24" s="9">
        <f t="shared" ref="V24:AG24" si="10">V14/U14-1</f>
        <v>5.6131162472959018E-2</v>
      </c>
      <c r="W24" s="9">
        <f t="shared" si="10"/>
        <v>4.9482535575679165E-2</v>
      </c>
      <c r="X24" s="9">
        <f t="shared" si="10"/>
        <v>7.8787878787878851E-2</v>
      </c>
      <c r="Y24" s="9">
        <f t="shared" si="10"/>
        <v>-0.3197486193106075</v>
      </c>
      <c r="Z24" s="9">
        <f t="shared" si="10"/>
        <v>-7.950727883538633E-2</v>
      </c>
      <c r="AA24" s="9">
        <f t="shared" si="10"/>
        <v>0.23646593673965932</v>
      </c>
      <c r="AB24" s="9">
        <f t="shared" si="10"/>
        <v>9.531422949206747E-2</v>
      </c>
      <c r="AC24" s="9">
        <f t="shared" si="10"/>
        <v>6.1306984055692793E-2</v>
      </c>
      <c r="AD24" s="9">
        <f t="shared" si="10"/>
        <v>-0.54432924248836223</v>
      </c>
      <c r="AE24" s="9">
        <f t="shared" si="10"/>
        <v>0.34385883445553755</v>
      </c>
      <c r="AF24" s="9">
        <f t="shared" si="10"/>
        <v>0.51572218382861101</v>
      </c>
      <c r="AG24" s="9">
        <f t="shared" si="10"/>
        <v>0.16664766898438388</v>
      </c>
      <c r="AH24" s="9">
        <f t="shared" ref="AH24:AN24" si="11">AH14/AG14-1</f>
        <v>9.1744015632633014E-2</v>
      </c>
      <c r="AI24" s="9">
        <f t="shared" si="11"/>
        <v>0.10000000000000009</v>
      </c>
      <c r="AJ24" s="9">
        <f t="shared" si="11"/>
        <v>0.10000000000000009</v>
      </c>
      <c r="AK24" s="9">
        <f t="shared" si="11"/>
        <v>0.10000000000000009</v>
      </c>
      <c r="AL24" s="9">
        <f t="shared" si="11"/>
        <v>0.10000000000000009</v>
      </c>
      <c r="AM24" s="9">
        <f t="shared" si="11"/>
        <v>0.10000000000000009</v>
      </c>
      <c r="AN24" s="9">
        <f t="shared" si="11"/>
        <v>0.10000000000000009</v>
      </c>
    </row>
    <row r="25" spans="1:122" s="8" customFormat="1" x14ac:dyDescent="0.25">
      <c r="A25" s="8" t="s">
        <v>24</v>
      </c>
      <c r="B25" s="9">
        <f t="shared" ref="B25:P25" si="12">B16/B14</f>
        <v>2.4027459954233409E-2</v>
      </c>
      <c r="C25" s="9">
        <f t="shared" si="12"/>
        <v>0.16854778028592926</v>
      </c>
      <c r="D25" s="9">
        <f t="shared" si="12"/>
        <v>0.25157232704402516</v>
      </c>
      <c r="E25" s="9">
        <f t="shared" si="12"/>
        <v>0.18082788671023964</v>
      </c>
      <c r="F25" s="9">
        <f t="shared" si="12"/>
        <v>0.21441022661243464</v>
      </c>
      <c r="G25" s="9">
        <f t="shared" si="12"/>
        <v>0.26696428571428571</v>
      </c>
      <c r="H25" s="9">
        <f t="shared" si="12"/>
        <v>0.26309121621621623</v>
      </c>
      <c r="I25" s="9">
        <f t="shared" si="12"/>
        <v>0.20621931260229132</v>
      </c>
      <c r="J25" s="9">
        <f t="shared" si="12"/>
        <v>0.21718273004797209</v>
      </c>
      <c r="K25" s="9">
        <f t="shared" si="12"/>
        <v>0.25338345864661654</v>
      </c>
      <c r="L25" s="9">
        <f t="shared" si="12"/>
        <v>0.2442947998503554</v>
      </c>
      <c r="M25" s="9">
        <f t="shared" si="12"/>
        <v>0.15331544653123802</v>
      </c>
      <c r="N25" s="9">
        <f t="shared" si="12"/>
        <v>0.20443062572872134</v>
      </c>
      <c r="O25" s="9">
        <f t="shared" si="12"/>
        <v>0.24567943070145715</v>
      </c>
      <c r="P25" s="9">
        <f t="shared" si="12"/>
        <v>0.21799790722009069</v>
      </c>
      <c r="Q25" s="9">
        <f t="shared" ref="Q25" si="13">Q16/Q14</f>
        <v>0.17570966582824291</v>
      </c>
      <c r="AH25" s="9">
        <f t="shared" ref="AH25" si="14">AH16/AH14</f>
        <v>0.21165204940039378</v>
      </c>
    </row>
    <row r="26" spans="1:122" s="9" customFormat="1" x14ac:dyDescent="0.25">
      <c r="A26" s="9" t="s">
        <v>25</v>
      </c>
      <c r="B26" s="9">
        <f t="shared" ref="B26:P26" si="15">B20/B14</f>
        <v>-5.3775743707093822E-2</v>
      </c>
      <c r="C26" s="9">
        <f t="shared" si="15"/>
        <v>9.3303235515425131E-2</v>
      </c>
      <c r="D26" s="9">
        <f t="shared" si="15"/>
        <v>0.13836477987421383</v>
      </c>
      <c r="E26" s="9">
        <f t="shared" si="15"/>
        <v>8.0610021786492375E-2</v>
      </c>
      <c r="F26" s="9">
        <f t="shared" si="15"/>
        <v>0.11563044741429401</v>
      </c>
      <c r="G26" s="9">
        <f t="shared" si="15"/>
        <v>0.15758928571428571</v>
      </c>
      <c r="H26" s="9">
        <f t="shared" si="15"/>
        <v>0.14189189189189189</v>
      </c>
      <c r="I26" s="9">
        <f t="shared" si="15"/>
        <v>0.12847790507364976</v>
      </c>
      <c r="J26" s="9">
        <f t="shared" si="15"/>
        <v>0.12603576101177497</v>
      </c>
      <c r="K26" s="9">
        <f t="shared" si="15"/>
        <v>0.15338345864661654</v>
      </c>
      <c r="L26" s="9">
        <f t="shared" si="15"/>
        <v>0.13879536101758325</v>
      </c>
      <c r="M26" s="9">
        <f t="shared" si="15"/>
        <v>5.8259869681870448E-2</v>
      </c>
      <c r="N26" s="9">
        <f t="shared" si="15"/>
        <v>0.11581811115429459</v>
      </c>
      <c r="O26" s="9">
        <f t="shared" si="15"/>
        <v>0.14063029481531683</v>
      </c>
      <c r="P26" s="9">
        <f t="shared" si="15"/>
        <v>0.11789326822462505</v>
      </c>
      <c r="Q26" s="9">
        <f t="shared" ref="Q26" si="16">Q20/Q14</f>
        <v>0.18002155946819978</v>
      </c>
      <c r="AH26" s="9">
        <f>AH20/AH14</f>
        <v>0.13889386074816537</v>
      </c>
      <c r="AI26" s="9">
        <v>0.15</v>
      </c>
      <c r="AJ26" s="9">
        <v>0.15</v>
      </c>
      <c r="AK26" s="9">
        <v>0.15</v>
      </c>
      <c r="AL26" s="9">
        <v>0.15</v>
      </c>
      <c r="AM26" s="9">
        <v>0.15</v>
      </c>
      <c r="AN26" s="9">
        <v>0.15</v>
      </c>
    </row>
    <row r="27" spans="1:122" s="8" customFormat="1" x14ac:dyDescent="0.25">
      <c r="A27" s="8" t="s">
        <v>26</v>
      </c>
      <c r="B27" s="9">
        <f t="shared" ref="B27:P27" si="17">-B19/B18</f>
        <v>0.42682926829268292</v>
      </c>
      <c r="C27" s="9">
        <f t="shared" si="17"/>
        <v>-8.130081300813009E-3</v>
      </c>
      <c r="D27" s="9">
        <f t="shared" si="17"/>
        <v>0.29239766081871343</v>
      </c>
      <c r="E27" s="9">
        <f t="shared" si="17"/>
        <v>0.37552742616033757</v>
      </c>
      <c r="F27" s="9">
        <f t="shared" si="17"/>
        <v>0.28673835125448027</v>
      </c>
      <c r="G27" s="9">
        <f t="shared" si="17"/>
        <v>0.29258517034068138</v>
      </c>
      <c r="H27" s="9">
        <f t="shared" si="17"/>
        <v>0.35009671179883944</v>
      </c>
      <c r="I27" s="9">
        <f t="shared" si="17"/>
        <v>0.18229166666666666</v>
      </c>
      <c r="J27" s="9">
        <f t="shared" si="17"/>
        <v>0.24345549738219896</v>
      </c>
      <c r="K27" s="9">
        <f t="shared" si="17"/>
        <v>0.27531083481349911</v>
      </c>
      <c r="L27" s="9">
        <f t="shared" si="17"/>
        <v>0.31296296296296294</v>
      </c>
      <c r="M27" s="9">
        <f t="shared" si="17"/>
        <v>0.44927536231884058</v>
      </c>
      <c r="N27" s="9">
        <f t="shared" si="17"/>
        <v>0.24556962025316456</v>
      </c>
      <c r="O27" s="9">
        <f t="shared" si="17"/>
        <v>0.28938356164383561</v>
      </c>
      <c r="P27" s="9">
        <f t="shared" si="17"/>
        <v>0.30309278350515462</v>
      </c>
      <c r="Q27" s="9">
        <f t="shared" ref="Q27" si="18">-Q19/Q18</f>
        <v>-0.50903614457831325</v>
      </c>
    </row>
    <row r="29" spans="1:122" x14ac:dyDescent="0.25">
      <c r="A29" t="s">
        <v>40</v>
      </c>
      <c r="AQ29" t="s">
        <v>36</v>
      </c>
      <c r="AR29" s="10">
        <v>0.09</v>
      </c>
    </row>
    <row r="30" spans="1:122" x14ac:dyDescent="0.25">
      <c r="A30" t="s">
        <v>3</v>
      </c>
      <c r="Q30" s="1">
        <f>1301+75</f>
        <v>1376</v>
      </c>
      <c r="AQ30" t="s">
        <v>37</v>
      </c>
      <c r="AR30" s="11">
        <f>NPV(AR29,AH20:DR20)</f>
        <v>38566.455223018515</v>
      </c>
    </row>
    <row r="31" spans="1:122" x14ac:dyDescent="0.25">
      <c r="A31" t="s">
        <v>41</v>
      </c>
      <c r="Q31" s="1">
        <v>1583</v>
      </c>
      <c r="AQ31" t="s">
        <v>38</v>
      </c>
      <c r="AR31" s="12">
        <f>AR30/Q22</f>
        <v>160.31348687078767</v>
      </c>
    </row>
    <row r="32" spans="1:122" x14ac:dyDescent="0.25">
      <c r="A32" t="s">
        <v>42</v>
      </c>
      <c r="Q32" s="1">
        <v>193</v>
      </c>
    </row>
    <row r="33" spans="1:17" x14ac:dyDescent="0.25">
      <c r="A33" t="s">
        <v>11</v>
      </c>
      <c r="Q33" s="1">
        <v>620</v>
      </c>
    </row>
    <row r="34" spans="1:17" x14ac:dyDescent="0.25">
      <c r="A34" t="s">
        <v>43</v>
      </c>
      <c r="Q34" s="1">
        <f>5035+4990+194</f>
        <v>10219</v>
      </c>
    </row>
    <row r="35" spans="1:17" x14ac:dyDescent="0.25">
      <c r="A35" t="s">
        <v>44</v>
      </c>
      <c r="Q35" s="1">
        <v>1235</v>
      </c>
    </row>
    <row r="36" spans="1:17" x14ac:dyDescent="0.25">
      <c r="A36" t="s">
        <v>46</v>
      </c>
      <c r="Q36" s="1">
        <v>567</v>
      </c>
    </row>
    <row r="37" spans="1:17" x14ac:dyDescent="0.25">
      <c r="A37" t="s">
        <v>45</v>
      </c>
      <c r="Q37" s="1">
        <v>411</v>
      </c>
    </row>
    <row r="38" spans="1:17" x14ac:dyDescent="0.25">
      <c r="A38" t="s">
        <v>47</v>
      </c>
      <c r="Q38" s="1">
        <v>318</v>
      </c>
    </row>
    <row r="39" spans="1:17" x14ac:dyDescent="0.25">
      <c r="A39" t="s">
        <v>48</v>
      </c>
      <c r="Q39" s="1">
        <f>SUM(Q30:Q38)</f>
        <v>16522</v>
      </c>
    </row>
    <row r="40" spans="1:17" x14ac:dyDescent="0.25">
      <c r="Q40" s="1"/>
    </row>
    <row r="41" spans="1:17" x14ac:dyDescent="0.25">
      <c r="A41" t="s">
        <v>49</v>
      </c>
      <c r="Q41" s="1">
        <v>2124</v>
      </c>
    </row>
    <row r="42" spans="1:17" x14ac:dyDescent="0.25">
      <c r="A42" t="s">
        <v>4</v>
      </c>
      <c r="Q42" s="1">
        <f>535+10616</f>
        <v>11151</v>
      </c>
    </row>
    <row r="43" spans="1:17" x14ac:dyDescent="0.25">
      <c r="A43" t="s">
        <v>50</v>
      </c>
      <c r="Q43" s="1">
        <f>664+1300</f>
        <v>1964</v>
      </c>
    </row>
    <row r="44" spans="1:17" x14ac:dyDescent="0.25">
      <c r="A44" t="s">
        <v>51</v>
      </c>
      <c r="Q44" s="1">
        <f>1377+1597</f>
        <v>2974</v>
      </c>
    </row>
    <row r="45" spans="1:17" x14ac:dyDescent="0.25">
      <c r="A45" t="s">
        <v>46</v>
      </c>
      <c r="Q45" s="1">
        <v>735</v>
      </c>
    </row>
    <row r="46" spans="1:17" x14ac:dyDescent="0.25">
      <c r="A46" t="s">
        <v>47</v>
      </c>
      <c r="Q46" s="1">
        <v>322</v>
      </c>
    </row>
    <row r="47" spans="1:17" x14ac:dyDescent="0.25">
      <c r="A47" t="s">
        <v>11</v>
      </c>
      <c r="Q47" s="1">
        <f>941+17</f>
        <v>958</v>
      </c>
    </row>
    <row r="48" spans="1:17" x14ac:dyDescent="0.25">
      <c r="A48" t="s">
        <v>52</v>
      </c>
      <c r="Q48" s="1">
        <f>+-3727+21</f>
        <v>-3706</v>
      </c>
    </row>
    <row r="49" spans="1:17" x14ac:dyDescent="0.25">
      <c r="A49" t="s">
        <v>53</v>
      </c>
      <c r="Q49" s="1">
        <f>SUM(Q41:Q48)</f>
        <v>16522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2025-02-04T10:36:41Z</dcterms:created>
  <dcterms:modified xsi:type="dcterms:W3CDTF">2026-09-06T12:22:40Z</dcterms:modified>
</cp:coreProperties>
</file>