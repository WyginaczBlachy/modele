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1s\modele\"/>
    </mc:Choice>
  </mc:AlternateContent>
  <xr:revisionPtr revIDLastSave="0" documentId="13_ncr:1_{03C2F451-AAC6-4A0E-A608-8B06AE13859F}" xr6:coauthVersionLast="47" xr6:coauthVersionMax="47" xr10:uidLastSave="{00000000-0000-0000-0000-000000000000}"/>
  <bookViews>
    <workbookView xWindow="690" yWindow="1500" windowWidth="28815" windowHeight="16830" activeTab="1" xr2:uid="{4C738B13-F7F2-4EF0-BC23-FFCDB8FDE18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L30" i="2" l="1"/>
  <c r="Z19" i="2"/>
  <c r="Y19" i="2"/>
  <c r="X19" i="2"/>
  <c r="W19" i="2"/>
  <c r="Z10" i="2"/>
  <c r="Y10" i="2"/>
  <c r="X10" i="2"/>
  <c r="Z9" i="2"/>
  <c r="Y9" i="2"/>
  <c r="X9" i="2"/>
  <c r="Z8" i="2"/>
  <c r="Y8" i="2"/>
  <c r="X8" i="2"/>
  <c r="W8" i="2"/>
  <c r="W10" i="2"/>
  <c r="W9" i="2"/>
  <c r="W13" i="2" s="1"/>
  <c r="W12" i="2"/>
  <c r="V26" i="2"/>
  <c r="V19" i="2"/>
  <c r="V20" i="2"/>
  <c r="V10" i="2"/>
  <c r="V8" i="2"/>
  <c r="V12" i="2" s="1"/>
  <c r="V9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AL25" i="2" l="1"/>
  <c r="AK25" i="2"/>
  <c r="AK20" i="2"/>
  <c r="AK18" i="2"/>
  <c r="AL23" i="2"/>
  <c r="AJ20" i="2"/>
  <c r="AJ19" i="2"/>
  <c r="AJ18" i="2"/>
  <c r="AJ21" i="2" s="1"/>
  <c r="AJ16" i="2"/>
  <c r="AI15" i="2"/>
  <c r="W20" i="2"/>
  <c r="AK19" i="2"/>
  <c r="V18" i="2"/>
  <c r="V21" i="2" s="1"/>
  <c r="Z32" i="2"/>
  <c r="Y12" i="2"/>
  <c r="X12" i="2"/>
  <c r="Z6" i="2"/>
  <c r="Y6" i="2"/>
  <c r="X6" i="2"/>
  <c r="W6" i="2"/>
  <c r="V6" i="2"/>
  <c r="U10" i="2"/>
  <c r="U9" i="2"/>
  <c r="Y13" i="2" s="1"/>
  <c r="U8" i="2"/>
  <c r="U3" i="2"/>
  <c r="Y32" i="2" s="1"/>
  <c r="U57" i="2"/>
  <c r="U53" i="2"/>
  <c r="U51" i="2"/>
  <c r="U48" i="2"/>
  <c r="U46" i="2"/>
  <c r="U41" i="2"/>
  <c r="U43" i="2" s="1"/>
  <c r="U36" i="2"/>
  <c r="U23" i="2"/>
  <c r="U21" i="2"/>
  <c r="U17" i="2"/>
  <c r="U33" i="2" s="1"/>
  <c r="U15" i="2"/>
  <c r="U30" i="2" s="1"/>
  <c r="L6" i="1"/>
  <c r="L5" i="1"/>
  <c r="T10" i="2"/>
  <c r="T9" i="2"/>
  <c r="X13" i="2" s="1"/>
  <c r="T8" i="2"/>
  <c r="T3" i="2"/>
  <c r="T60" i="2"/>
  <c r="T57" i="2"/>
  <c r="T48" i="2"/>
  <c r="T51" i="2"/>
  <c r="T46" i="2"/>
  <c r="T41" i="2"/>
  <c r="T36" i="2"/>
  <c r="T43" i="2" s="1"/>
  <c r="T23" i="2"/>
  <c r="T21" i="2"/>
  <c r="T15" i="2"/>
  <c r="T53" i="2" s="1"/>
  <c r="S10" i="2"/>
  <c r="S9" i="2"/>
  <c r="S8" i="2"/>
  <c r="S3" i="2"/>
  <c r="S32" i="2" s="1"/>
  <c r="S60" i="2"/>
  <c r="S57" i="2"/>
  <c r="Q57" i="2"/>
  <c r="P57" i="2"/>
  <c r="O57" i="2"/>
  <c r="S46" i="2"/>
  <c r="S51" i="2" s="1"/>
  <c r="S41" i="2"/>
  <c r="S36" i="2"/>
  <c r="AK36" i="2" s="1"/>
  <c r="S23" i="2"/>
  <c r="AK23" i="2" s="1"/>
  <c r="S18" i="2"/>
  <c r="S21" i="2" s="1"/>
  <c r="S15" i="2"/>
  <c r="S53" i="2" s="1"/>
  <c r="Q15" i="2"/>
  <c r="Q30" i="2" s="1"/>
  <c r="P15" i="2"/>
  <c r="P53" i="2" s="1"/>
  <c r="O15" i="2"/>
  <c r="O53" i="2" s="1"/>
  <c r="R60" i="2"/>
  <c r="R3" i="2"/>
  <c r="V32" i="2" s="1"/>
  <c r="R55" i="2"/>
  <c r="R57" i="2" s="1"/>
  <c r="R56" i="2"/>
  <c r="R46" i="2"/>
  <c r="R51" i="2" s="1"/>
  <c r="R41" i="2"/>
  <c r="R36" i="2"/>
  <c r="R25" i="2"/>
  <c r="AJ25" i="2" s="1"/>
  <c r="R20" i="2"/>
  <c r="R19" i="2"/>
  <c r="R18" i="2"/>
  <c r="R16" i="2"/>
  <c r="R14" i="2"/>
  <c r="R10" i="2" s="1"/>
  <c r="R12" i="2"/>
  <c r="R8" i="2" s="1"/>
  <c r="R13" i="2"/>
  <c r="Q10" i="2"/>
  <c r="Q9" i="2"/>
  <c r="Q8" i="2"/>
  <c r="Q3" i="2"/>
  <c r="Q60" i="2"/>
  <c r="Q46" i="2"/>
  <c r="Q51" i="2" s="1"/>
  <c r="Q41" i="2"/>
  <c r="Q36" i="2"/>
  <c r="Q23" i="2"/>
  <c r="Q21" i="2"/>
  <c r="P10" i="2"/>
  <c r="P9" i="2"/>
  <c r="P8" i="2"/>
  <c r="P3" i="2"/>
  <c r="O60" i="2"/>
  <c r="P60" i="2"/>
  <c r="P46" i="2"/>
  <c r="P51" i="2" s="1"/>
  <c r="P41" i="2"/>
  <c r="P36" i="2"/>
  <c r="P35" i="2" s="1"/>
  <c r="O28" i="2"/>
  <c r="P23" i="2"/>
  <c r="P21" i="2"/>
  <c r="I9" i="2"/>
  <c r="J9" i="2"/>
  <c r="K9" i="2"/>
  <c r="L9" i="2"/>
  <c r="M9" i="2"/>
  <c r="N9" i="2"/>
  <c r="O9" i="2"/>
  <c r="O10" i="2"/>
  <c r="O8" i="2"/>
  <c r="M8" i="2"/>
  <c r="O46" i="2"/>
  <c r="O51" i="2" s="1"/>
  <c r="O41" i="2"/>
  <c r="O36" i="2"/>
  <c r="AJ36" i="2" s="1"/>
  <c r="O23" i="2"/>
  <c r="O21" i="2"/>
  <c r="N60" i="2"/>
  <c r="AF30" i="2"/>
  <c r="AE30" i="2"/>
  <c r="AD30" i="2"/>
  <c r="X20" i="2" l="1"/>
  <c r="Y20" i="2" s="1"/>
  <c r="Z20" i="2" s="1"/>
  <c r="AL20" i="2" s="1"/>
  <c r="AM20" i="2" s="1"/>
  <c r="AN20" i="2" s="1"/>
  <c r="AO20" i="2" s="1"/>
  <c r="AP20" i="2" s="1"/>
  <c r="AQ20" i="2" s="1"/>
  <c r="AK21" i="2"/>
  <c r="V14" i="2"/>
  <c r="Z14" i="2"/>
  <c r="Z12" i="2"/>
  <c r="T17" i="2"/>
  <c r="T32" i="2"/>
  <c r="U32" i="2"/>
  <c r="W32" i="2"/>
  <c r="S30" i="2"/>
  <c r="T30" i="2"/>
  <c r="X32" i="2"/>
  <c r="W14" i="2"/>
  <c r="W15" i="2" s="1"/>
  <c r="W16" i="2" s="1"/>
  <c r="S17" i="2"/>
  <c r="S33" i="2" s="1"/>
  <c r="X14" i="2"/>
  <c r="X15" i="2" s="1"/>
  <c r="W18" i="2"/>
  <c r="Y14" i="2"/>
  <c r="Y15" i="2" s="1"/>
  <c r="U22" i="2"/>
  <c r="U24" i="2" s="1"/>
  <c r="U26" i="2" s="1"/>
  <c r="U27" i="2" s="1"/>
  <c r="R15" i="2"/>
  <c r="AJ15" i="2"/>
  <c r="AJ30" i="2" s="1"/>
  <c r="AJ17" i="2"/>
  <c r="AJ22" i="2" s="1"/>
  <c r="W30" i="2"/>
  <c r="U35" i="2"/>
  <c r="T35" i="2"/>
  <c r="S43" i="2"/>
  <c r="S35" i="2"/>
  <c r="P17" i="2"/>
  <c r="P22" i="2" s="1"/>
  <c r="P24" i="2" s="1"/>
  <c r="P26" i="2" s="1"/>
  <c r="P27" i="2" s="1"/>
  <c r="O17" i="2"/>
  <c r="O33" i="2" s="1"/>
  <c r="O30" i="2"/>
  <c r="O43" i="2"/>
  <c r="Q17" i="2"/>
  <c r="Q33" i="2" s="1"/>
  <c r="P30" i="2"/>
  <c r="R21" i="2"/>
  <c r="P43" i="2"/>
  <c r="R30" i="2"/>
  <c r="R23" i="2"/>
  <c r="AJ23" i="2" s="1"/>
  <c r="Q53" i="2"/>
  <c r="R9" i="2"/>
  <c r="R43" i="2"/>
  <c r="R35" i="2"/>
  <c r="Q43" i="2"/>
  <c r="Q35" i="2"/>
  <c r="O35" i="2"/>
  <c r="O22" i="2"/>
  <c r="O24" i="2" s="1"/>
  <c r="O26" i="2" s="1"/>
  <c r="O27" i="2" s="1"/>
  <c r="L8" i="2"/>
  <c r="K8" i="2"/>
  <c r="J8" i="2"/>
  <c r="I8" i="2"/>
  <c r="N8" i="2"/>
  <c r="AI28" i="2"/>
  <c r="AI25" i="2"/>
  <c r="AI20" i="2"/>
  <c r="AI19" i="2"/>
  <c r="AI18" i="2"/>
  <c r="AI16" i="2"/>
  <c r="J57" i="2"/>
  <c r="N30" i="2"/>
  <c r="N57" i="2"/>
  <c r="N23" i="2"/>
  <c r="N21" i="2"/>
  <c r="N17" i="2"/>
  <c r="N33" i="2" s="1"/>
  <c r="N3" i="2"/>
  <c r="R32" i="2" s="1"/>
  <c r="M3" i="2"/>
  <c r="Q32" i="2" s="1"/>
  <c r="L3" i="2"/>
  <c r="K3" i="2"/>
  <c r="O32" i="2" s="1"/>
  <c r="J3" i="2"/>
  <c r="J32" i="2" s="1"/>
  <c r="I3" i="2"/>
  <c r="I32" i="2" s="1"/>
  <c r="H32" i="2"/>
  <c r="M60" i="2"/>
  <c r="L60" i="2"/>
  <c r="K60" i="2"/>
  <c r="M23" i="2"/>
  <c r="M21" i="2"/>
  <c r="M17" i="2"/>
  <c r="M33" i="2" s="1"/>
  <c r="M30" i="2"/>
  <c r="L4" i="1"/>
  <c r="AG30" i="2"/>
  <c r="AF23" i="2"/>
  <c r="AF21" i="2"/>
  <c r="AF17" i="2"/>
  <c r="AH25" i="2"/>
  <c r="AH19" i="2"/>
  <c r="AH20" i="2"/>
  <c r="AH18" i="2"/>
  <c r="AH16" i="2"/>
  <c r="AH15" i="2"/>
  <c r="AG23" i="2"/>
  <c r="AG17" i="2"/>
  <c r="AG21" i="2"/>
  <c r="AE2" i="2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I30" i="2"/>
  <c r="F23" i="2"/>
  <c r="J23" i="2"/>
  <c r="E23" i="2"/>
  <c r="E21" i="2"/>
  <c r="E17" i="2"/>
  <c r="I23" i="2"/>
  <c r="I21" i="2"/>
  <c r="I17" i="2"/>
  <c r="F21" i="2"/>
  <c r="F17" i="2"/>
  <c r="F33" i="2" s="1"/>
  <c r="J30" i="2"/>
  <c r="J21" i="2"/>
  <c r="J17" i="2"/>
  <c r="J33" i="2" s="1"/>
  <c r="G23" i="2"/>
  <c r="G21" i="2"/>
  <c r="G17" i="2"/>
  <c r="G33" i="2" s="1"/>
  <c r="K30" i="2"/>
  <c r="H23" i="2"/>
  <c r="L23" i="2"/>
  <c r="K23" i="2"/>
  <c r="K21" i="2"/>
  <c r="K17" i="2"/>
  <c r="K33" i="2" s="1"/>
  <c r="L57" i="2"/>
  <c r="L30" i="2"/>
  <c r="H21" i="2"/>
  <c r="H17" i="2"/>
  <c r="H33" i="2" s="1"/>
  <c r="L21" i="2"/>
  <c r="L17" i="2"/>
  <c r="L33" i="2" s="1"/>
  <c r="AJ24" i="2" l="1"/>
  <c r="AJ26" i="2" s="1"/>
  <c r="AJ27" i="2" s="1"/>
  <c r="W17" i="2"/>
  <c r="W33" i="2" s="1"/>
  <c r="X16" i="2"/>
  <c r="X17" i="2" s="1"/>
  <c r="X33" i="2" s="1"/>
  <c r="S22" i="2"/>
  <c r="S24" i="2" s="1"/>
  <c r="S26" i="2" s="1"/>
  <c r="S27" i="2" s="1"/>
  <c r="T33" i="2"/>
  <c r="T22" i="2"/>
  <c r="T24" i="2" s="1"/>
  <c r="T26" i="2" s="1"/>
  <c r="T27" i="2" s="1"/>
  <c r="P33" i="2"/>
  <c r="Z13" i="2"/>
  <c r="Z15" i="2" s="1"/>
  <c r="V13" i="2"/>
  <c r="V15" i="2" s="1"/>
  <c r="X30" i="2"/>
  <c r="W21" i="2"/>
  <c r="X18" i="2"/>
  <c r="Y16" i="2"/>
  <c r="Y17" i="2" s="1"/>
  <c r="Y33" i="2" s="1"/>
  <c r="Y30" i="2"/>
  <c r="R17" i="2"/>
  <c r="Q22" i="2"/>
  <c r="Q24" i="2" s="1"/>
  <c r="Q26" i="2" s="1"/>
  <c r="Q27" i="2" s="1"/>
  <c r="R53" i="2"/>
  <c r="R33" i="2"/>
  <c r="R22" i="2"/>
  <c r="R24" i="2" s="1"/>
  <c r="R26" i="2" s="1"/>
  <c r="R27" i="2" s="1"/>
  <c r="L32" i="2"/>
  <c r="P32" i="2"/>
  <c r="AH17" i="2"/>
  <c r="AI21" i="2"/>
  <c r="K32" i="2"/>
  <c r="I22" i="2"/>
  <c r="I24" i="2" s="1"/>
  <c r="I26" i="2" s="1"/>
  <c r="I27" i="2" s="1"/>
  <c r="AI23" i="2"/>
  <c r="AI30" i="2"/>
  <c r="N32" i="2"/>
  <c r="AI17" i="2"/>
  <c r="M32" i="2"/>
  <c r="N22" i="2"/>
  <c r="N24" i="2" s="1"/>
  <c r="N26" i="2" s="1"/>
  <c r="N27" i="2" s="1"/>
  <c r="AH23" i="2"/>
  <c r="AH30" i="2"/>
  <c r="E22" i="2"/>
  <c r="E24" i="2" s="1"/>
  <c r="E26" i="2" s="1"/>
  <c r="E27" i="2" s="1"/>
  <c r="I33" i="2"/>
  <c r="AG22" i="2"/>
  <c r="AG24" i="2" s="1"/>
  <c r="AG26" i="2" s="1"/>
  <c r="AG27" i="2" s="1"/>
  <c r="AH21" i="2"/>
  <c r="AH22" i="2" s="1"/>
  <c r="M22" i="2"/>
  <c r="M24" i="2" s="1"/>
  <c r="M26" i="2" s="1"/>
  <c r="M27" i="2" s="1"/>
  <c r="L7" i="1"/>
  <c r="AF22" i="2"/>
  <c r="AF24" i="2" s="1"/>
  <c r="AF26" i="2" s="1"/>
  <c r="AF27" i="2" s="1"/>
  <c r="K22" i="2"/>
  <c r="K24" i="2" s="1"/>
  <c r="K26" i="2" s="1"/>
  <c r="K27" i="2" s="1"/>
  <c r="F22" i="2"/>
  <c r="F24" i="2" s="1"/>
  <c r="F26" i="2" s="1"/>
  <c r="F27" i="2" s="1"/>
  <c r="J22" i="2"/>
  <c r="J24" i="2" s="1"/>
  <c r="J26" i="2" s="1"/>
  <c r="J27" i="2" s="1"/>
  <c r="G22" i="2"/>
  <c r="G24" i="2" s="1"/>
  <c r="G26" i="2" s="1"/>
  <c r="G27" i="2" s="1"/>
  <c r="L22" i="2"/>
  <c r="L24" i="2" s="1"/>
  <c r="L26" i="2" s="1"/>
  <c r="L27" i="2" s="1"/>
  <c r="H22" i="2"/>
  <c r="H24" i="2" s="1"/>
  <c r="H26" i="2" s="1"/>
  <c r="H27" i="2" s="1"/>
  <c r="W22" i="2" l="1"/>
  <c r="W24" i="2" s="1"/>
  <c r="W26" i="2" s="1"/>
  <c r="W27" i="2" s="1"/>
  <c r="Z16" i="2"/>
  <c r="Z17" i="2" s="1"/>
  <c r="Z33" i="2" s="1"/>
  <c r="Z30" i="2"/>
  <c r="AL15" i="2"/>
  <c r="Y18" i="2"/>
  <c r="X21" i="2"/>
  <c r="X22" i="2" s="1"/>
  <c r="X24" i="2" s="1"/>
  <c r="X26" i="2" s="1"/>
  <c r="X27" i="2" s="1"/>
  <c r="AL19" i="2"/>
  <c r="AM19" i="2" s="1"/>
  <c r="AN19" i="2" s="1"/>
  <c r="AO19" i="2" s="1"/>
  <c r="AP19" i="2" s="1"/>
  <c r="AQ19" i="2" s="1"/>
  <c r="V16" i="2"/>
  <c r="AK16" i="2" s="1"/>
  <c r="V30" i="2"/>
  <c r="AK15" i="2"/>
  <c r="AI22" i="2"/>
  <c r="AI24" i="2" s="1"/>
  <c r="AI26" i="2" s="1"/>
  <c r="AI27" i="2" s="1"/>
  <c r="AH24" i="2"/>
  <c r="AH26" i="2" s="1"/>
  <c r="AH27" i="2" s="1"/>
  <c r="AL16" i="2" l="1"/>
  <c r="V17" i="2"/>
  <c r="AK30" i="2"/>
  <c r="AK17" i="2"/>
  <c r="AK22" i="2" s="1"/>
  <c r="AK24" i="2" s="1"/>
  <c r="AK26" i="2" s="1"/>
  <c r="V33" i="2"/>
  <c r="V22" i="2"/>
  <c r="V24" i="2" s="1"/>
  <c r="V27" i="2" s="1"/>
  <c r="Z18" i="2"/>
  <c r="Z21" i="2" s="1"/>
  <c r="Z22" i="2" s="1"/>
  <c r="Z24" i="2" s="1"/>
  <c r="Z26" i="2" s="1"/>
  <c r="Z27" i="2" s="1"/>
  <c r="Y21" i="2"/>
  <c r="Y22" i="2" s="1"/>
  <c r="Y24" i="2" s="1"/>
  <c r="Y26" i="2" s="1"/>
  <c r="Y27" i="2" s="1"/>
  <c r="AL18" i="2"/>
  <c r="AL17" i="2"/>
  <c r="AL21" i="2" l="1"/>
  <c r="AL22" i="2" s="1"/>
  <c r="AL24" i="2" s="1"/>
  <c r="AL26" i="2" s="1"/>
  <c r="AL27" i="2" s="1"/>
  <c r="AM18" i="2"/>
  <c r="AK27" i="2"/>
  <c r="AL36" i="2"/>
  <c r="AM36" i="2" l="1"/>
  <c r="AN18" i="2"/>
  <c r="AM21" i="2"/>
  <c r="AN21" i="2" l="1"/>
  <c r="AO18" i="2"/>
  <c r="AO21" i="2" l="1"/>
  <c r="AP18" i="2"/>
  <c r="AP21" i="2" l="1"/>
  <c r="AQ18" i="2"/>
  <c r="AQ21" i="2" s="1"/>
  <c r="AM23" i="2"/>
  <c r="AM15" i="2" l="1"/>
  <c r="AN15" i="2" s="1"/>
  <c r="AO15" i="2" l="1"/>
  <c r="AN16" i="2"/>
  <c r="AN17" i="2"/>
  <c r="AN22" i="2" s="1"/>
  <c r="AM16" i="2"/>
  <c r="AM17" i="2" s="1"/>
  <c r="AM22" i="2" s="1"/>
  <c r="AM24" i="2" s="1"/>
  <c r="AM26" i="2" s="1"/>
  <c r="AM27" i="2" l="1"/>
  <c r="AN36" i="2"/>
  <c r="AP15" i="2"/>
  <c r="AO16" i="2"/>
  <c r="AO17" i="2" s="1"/>
  <c r="AO22" i="2" s="1"/>
  <c r="AQ15" i="2" l="1"/>
  <c r="AP16" i="2"/>
  <c r="AP17" i="2" s="1"/>
  <c r="AP22" i="2" s="1"/>
  <c r="AN23" i="2"/>
  <c r="AN24" i="2" s="1"/>
  <c r="AN25" i="2" l="1"/>
  <c r="AN26" i="2" s="1"/>
  <c r="AQ16" i="2"/>
  <c r="AQ17" i="2" s="1"/>
  <c r="AQ22" i="2" s="1"/>
  <c r="AN27" i="2" l="1"/>
  <c r="AO36" i="2"/>
  <c r="AO23" i="2" l="1"/>
  <c r="AO24" i="2" l="1"/>
  <c r="AO25" i="2" l="1"/>
  <c r="AO26" i="2"/>
  <c r="AO27" i="2" l="1"/>
  <c r="AP36" i="2"/>
  <c r="AP23" i="2" l="1"/>
  <c r="AP24" i="2" l="1"/>
  <c r="AP25" i="2" l="1"/>
  <c r="AP26" i="2" s="1"/>
  <c r="AP27" i="2" l="1"/>
  <c r="AQ36" i="2"/>
  <c r="AQ23" i="2" s="1"/>
  <c r="AQ24" i="2" s="1"/>
  <c r="AQ25" i="2" l="1"/>
  <c r="AQ26" i="2" s="1"/>
  <c r="AR26" i="2" l="1"/>
  <c r="AS26" i="2" s="1"/>
  <c r="AT26" i="2" s="1"/>
  <c r="AU26" i="2" s="1"/>
  <c r="AV26" i="2" s="1"/>
  <c r="AW26" i="2" s="1"/>
  <c r="AX26" i="2" s="1"/>
  <c r="AY26" i="2" s="1"/>
  <c r="AZ26" i="2" s="1"/>
  <c r="BA26" i="2" s="1"/>
  <c r="BB26" i="2" s="1"/>
  <c r="BC26" i="2" s="1"/>
  <c r="BD26" i="2" s="1"/>
  <c r="BE26" i="2" s="1"/>
  <c r="BF26" i="2" s="1"/>
  <c r="BG26" i="2" s="1"/>
  <c r="BH26" i="2" s="1"/>
  <c r="BI26" i="2" s="1"/>
  <c r="BJ26" i="2" s="1"/>
  <c r="BK26" i="2" s="1"/>
  <c r="BL26" i="2" s="1"/>
  <c r="BM26" i="2" s="1"/>
  <c r="BN26" i="2" s="1"/>
  <c r="BO26" i="2" s="1"/>
  <c r="BP26" i="2" s="1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CD26" i="2" s="1"/>
  <c r="CE26" i="2" s="1"/>
  <c r="CF26" i="2" s="1"/>
  <c r="CG26" i="2" s="1"/>
  <c r="CH26" i="2" s="1"/>
  <c r="CI26" i="2" s="1"/>
  <c r="CJ26" i="2" s="1"/>
  <c r="CK26" i="2" s="1"/>
  <c r="CL26" i="2" s="1"/>
  <c r="CM26" i="2" s="1"/>
  <c r="CN26" i="2" s="1"/>
  <c r="CO26" i="2" s="1"/>
  <c r="CP26" i="2" s="1"/>
  <c r="CQ26" i="2" s="1"/>
  <c r="CR26" i="2" s="1"/>
  <c r="CS26" i="2" s="1"/>
  <c r="CT26" i="2" s="1"/>
  <c r="CU26" i="2" s="1"/>
  <c r="CV26" i="2" s="1"/>
  <c r="CW26" i="2" s="1"/>
  <c r="CX26" i="2" s="1"/>
  <c r="CY26" i="2" s="1"/>
  <c r="CZ26" i="2" s="1"/>
  <c r="DA26" i="2" s="1"/>
  <c r="DB26" i="2" s="1"/>
  <c r="DC26" i="2" s="1"/>
  <c r="DD26" i="2" s="1"/>
  <c r="DE26" i="2" s="1"/>
  <c r="AQ27" i="2"/>
  <c r="AU36" i="2" l="1"/>
  <c r="AU37" i="2" s="1"/>
  <c r="AU38" i="2" s="1"/>
</calcChain>
</file>

<file path=xl/sharedStrings.xml><?xml version="1.0" encoding="utf-8"?>
<sst xmlns="http://schemas.openxmlformats.org/spreadsheetml/2006/main" count="99" uniqueCount="91">
  <si>
    <t>Price</t>
  </si>
  <si>
    <t>Shares</t>
  </si>
  <si>
    <t>MC</t>
  </si>
  <si>
    <t>Cash</t>
  </si>
  <si>
    <t>Debt</t>
  </si>
  <si>
    <t>EV</t>
  </si>
  <si>
    <t>Q222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</si>
  <si>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</si>
  <si>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</si>
  <si>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</si>
  <si>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</si>
  <si>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</si>
  <si>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</si>
  <si>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</si>
  <si>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</si>
  <si>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</si>
  <si>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</si>
  <si>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</si>
  <si>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</si>
  <si>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</si>
  <si>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COGS</t>
  </si>
  <si>
    <t>Gross Margin</t>
  </si>
  <si>
    <t>R&amp;D</t>
  </si>
  <si>
    <t>S&amp;M</t>
  </si>
  <si>
    <t>G&amp;A</t>
  </si>
  <si>
    <t>OpEx</t>
  </si>
  <si>
    <t>OpInc</t>
  </si>
  <si>
    <t>Interest</t>
  </si>
  <si>
    <t>Pretax</t>
  </si>
  <si>
    <t>Taxes</t>
  </si>
  <si>
    <t>Net Income</t>
  </si>
  <si>
    <t>EPS</t>
  </si>
  <si>
    <t>Revenue Growth</t>
  </si>
  <si>
    <t>FCF</t>
  </si>
  <si>
    <t>CapEx</t>
  </si>
  <si>
    <t>CFFO</t>
  </si>
  <si>
    <t>DAU</t>
  </si>
  <si>
    <t>US DAU</t>
  </si>
  <si>
    <t>EU DAU</t>
  </si>
  <si>
    <t>ROW DAU</t>
  </si>
  <si>
    <t>Headcount</t>
  </si>
  <si>
    <t>DAU Growth</t>
  </si>
  <si>
    <t>Q123</t>
  </si>
  <si>
    <t>Q223</t>
  </si>
  <si>
    <t>Q323</t>
  </si>
  <si>
    <t>Q423</t>
  </si>
  <si>
    <t>US Revenue</t>
  </si>
  <si>
    <t>EU Revenue</t>
  </si>
  <si>
    <t>US ARPU</t>
  </si>
  <si>
    <t>Snapchat+</t>
  </si>
  <si>
    <t>2 million paying subscribers</t>
  </si>
  <si>
    <t>Custom Story Expiration</t>
  </si>
  <si>
    <t>Custom Notification Sounds</t>
  </si>
  <si>
    <t>BigCommerce</t>
  </si>
  <si>
    <t>Smartly.io</t>
  </si>
  <si>
    <t>300,000 AR creators, 3 million AR lenses</t>
  </si>
  <si>
    <t>Lens Studio</t>
  </si>
  <si>
    <t>Spotlight</t>
  </si>
  <si>
    <t>Bitmoji</t>
  </si>
  <si>
    <t>Net Cash</t>
  </si>
  <si>
    <t>Total Assets</t>
  </si>
  <si>
    <t>Other</t>
  </si>
  <si>
    <t>Goodwill</t>
  </si>
  <si>
    <t>Leases</t>
  </si>
  <si>
    <t>PP&amp;E</t>
  </si>
  <si>
    <t>Prepaids</t>
  </si>
  <si>
    <t>AR</t>
  </si>
  <si>
    <t>AP</t>
  </si>
  <si>
    <t>AL</t>
  </si>
  <si>
    <t>Convertible notes</t>
  </si>
  <si>
    <t>SE</t>
  </si>
  <si>
    <t>Total L+SE</t>
  </si>
  <si>
    <t>ROW Revenue</t>
  </si>
  <si>
    <t>EU ARPU</t>
  </si>
  <si>
    <t>ROW ARPU</t>
  </si>
  <si>
    <t>DSO</t>
  </si>
  <si>
    <t>Q124</t>
  </si>
  <si>
    <t>Q224</t>
  </si>
  <si>
    <t>Q324</t>
  </si>
  <si>
    <t>Q424</t>
  </si>
  <si>
    <t>Q125</t>
  </si>
  <si>
    <t>Q225</t>
  </si>
  <si>
    <t>Q325</t>
  </si>
  <si>
    <t>Q425</t>
  </si>
  <si>
    <t>ROIC</t>
  </si>
  <si>
    <t>terminal</t>
  </si>
  <si>
    <t>Discount</t>
  </si>
  <si>
    <t>NPV</t>
  </si>
  <si>
    <t>share</t>
  </si>
  <si>
    <t>upside</t>
  </si>
  <si>
    <t>ROW DAU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</si>
</sst>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;[Red]\-#,##0.00\ &quot;zł&quot;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/>
    <xf numFmtId="0" fontId="2" fillId="0" borderId="0" xfId="1"/>
    <xf numFmtId="0" fontId="3" fillId="0" borderId="0" xfId="0" applyFont="1"/>
    <xf numFmtId="3" fontId="4" fillId="0" borderId="0" xfId="0" applyNumberFormat="1" applyFont="1"/>
    <xf numFmtId="8" fontId="0" fillId="0" borderId="0" xfId="0" applyNumberFormat="1"/>
    <xf numFmtId="10" fontId="0" fillId="0" borderId="0" xfId="0" applyNumberForma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20457</xdr:colOff>
      <xdr:row>0</xdr:row>
      <xdr:rowOff>3811</xdr:rowOff>
    </xdr:from>
    <xdr:to>
      <xdr:col>21</xdr:col>
      <xdr:colOff>20457</xdr:colOff>
      <xdr:row>63</xdr:row>
      <xdr:rowOff>165325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DE861D2-15EA-13E3-B7EF-52CC528A2769}"/>
            </a:ext>
          </a:extLst>
        </xdr:cNvPr>
        <xdr:cNvCxnSpPr/>
      </xdr:nvCxnSpPr>
      <xdr:spPr>
        <a:xfrm>
          <a:off x="13154566" y="3811"/>
          <a:ext cx="0" cy="10635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29441</xdr:colOff>
      <xdr:row>0</xdr:row>
      <xdr:rowOff>0</xdr:rowOff>
    </xdr:from>
    <xdr:to>
      <xdr:col>36</xdr:col>
      <xdr:colOff>29441</xdr:colOff>
      <xdr:row>58</xdr:row>
      <xdr:rowOff>64770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12D1156-06F8-4683-87B3-11DBEC0957F5}"/>
            </a:ext>
          </a:extLst>
        </xdr:cNvPr>
        <xdr:cNvCxnSpPr/>
      </xdr:nvCxnSpPr>
      <xdr:spPr>
        <a:xfrm>
          <a:off x="22335259" y="0"/>
          <a:ext cx="0" cy="99361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5157-91F5-47CC-BA2A-C0CCFCCECC0F}">
  <dimension ref="B2:M15"/>
  <sheetViews>
    <sheetView zoomScale="160" zoomScaleNormal="160" workbookViewId="0">
      <selection activeCell="L7" sqref="L7"/>
    </sheetView>
  </sheetViews>
  <sheetFormatPr defaultRowHeight="12.75" x14ac:dyDescent="0.2"/>
  <sheetData>
    <row r="2" spans="2:13" x14ac:dyDescent="0.2">
      <c r="B2" t="s">
        <v>49</v>
      </c>
      <c r="K2" t="s">
        <v>0</v>
      </c>
      <c r="L2" s="6">
        <v>11.46</v>
      </c>
    </row>
    <row r="3" spans="2:13" x14ac:dyDescent="0.2">
      <c r="C3" t="s">
        <v>50</v>
      </c>
      <c r="K3" t="s">
        <v>1</v>
      </c>
      <c r="L3" s="2">
        <v>1663.011</v>
      </c>
      <c r="M3" s="1" t="s">
        <v>78</v>
      </c>
    </row>
    <row r="4" spans="2:13" x14ac:dyDescent="0.2">
      <c r="C4" t="s">
        <v>51</v>
      </c>
      <c r="K4" t="s">
        <v>2</v>
      </c>
      <c r="L4" s="2">
        <f>+L2*L3</f>
        <v>19058.106060000002</v>
      </c>
      <c r="M4" s="1"/>
    </row>
    <row r="5" spans="2:13" x14ac:dyDescent="0.2">
      <c r="C5" t="s">
        <v>52</v>
      </c>
      <c r="K5" t="s">
        <v>3</v>
      </c>
      <c r="L5" s="2">
        <f>964.967+2227.162</f>
        <v>3192.1289999999999</v>
      </c>
      <c r="M5" s="1" t="s">
        <v>78</v>
      </c>
    </row>
    <row r="6" spans="2:13" x14ac:dyDescent="0.2">
      <c r="K6" t="s">
        <v>4</v>
      </c>
      <c r="L6" s="2">
        <f>3605.137+36.191</f>
        <v>3641.328</v>
      </c>
      <c r="M6" s="1" t="s">
        <v>78</v>
      </c>
    </row>
    <row r="7" spans="2:13" x14ac:dyDescent="0.2">
      <c r="B7" t="s">
        <v>53</v>
      </c>
      <c r="K7" t="s">
        <v>5</v>
      </c>
      <c r="L7" s="2">
        <f>+L4-L5+L6</f>
        <v>19507.305060000002</v>
      </c>
    </row>
    <row r="8" spans="2:13" x14ac:dyDescent="0.2">
      <c r="B8" t="s">
        <v>54</v>
      </c>
    </row>
    <row r="10" spans="2:13" x14ac:dyDescent="0.2">
      <c r="B10" t="s">
        <v>55</v>
      </c>
    </row>
    <row r="11" spans="2:13" x14ac:dyDescent="0.2">
      <c r="B11" t="s">
        <v>56</v>
      </c>
    </row>
    <row r="13" spans="2:13" x14ac:dyDescent="0.2">
      <c r="B13" s="11" t="s">
        <v>57</v>
      </c>
    </row>
    <row r="15" spans="2:13" x14ac:dyDescent="0.2">
      <c r="B15" s="11" t="s">
        <v>58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503D-F2D4-4640-BE5F-CC163C3A9620}">
  <dimension ref="A1:XFD60"/>
  <sheetViews>
    <sheetView tabSelected="1" zoomScale="110" zoomScaleNormal="110" workbookViewId="0">
      <pane xSplit="2" ySplit="2" topLeftCell="AF7" activePane="bottomRight" state="frozen"/>
      <selection pane="topRight" activeCell="C1" sqref="C1"/>
      <selection pane="bottomLeft" activeCell="A3" sqref="A3"/>
      <selection pane="bottomRight" activeCell="AG36" sqref="AG36"/>
    </sheetView>
  </sheetViews>
  <sheetFormatPr defaultRowHeight="12.75" x14ac:dyDescent="0.2"/>
  <cols>
    <col min="1" max="1" width="5" bestFit="1" customWidth="1"/>
    <col min="2" max="2" width="15.140625" customWidth="1"/>
    <col min="3" max="14" width="9.140625" style="1"/>
    <col min="15" max="15" width="8.85546875" style="2"/>
    <col min="47" max="47" width="10.85546875" bestFit="1" customWidth="1"/>
  </cols>
  <sheetData>
    <row r="1" spans="1:43" x14ac:dyDescent="0.2">
      <c r="A1" s="10" t="s">
        <v>7</v>
      </c>
      <c r="O1"/>
    </row>
    <row r="2" spans="1:43" x14ac:dyDescent="0.2"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6</v>
      </c>
      <c r="M2" s="1" t="s">
        <v>18</v>
      </c>
      <c r="N2" s="1" t="s">
        <v>19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76</v>
      </c>
      <c r="T2" s="1" t="s">
        <v>77</v>
      </c>
      <c r="U2" s="1" t="s">
        <v>78</v>
      </c>
      <c r="V2" s="1" t="s">
        <v>79</v>
      </c>
      <c r="W2" s="1" t="s">
        <v>80</v>
      </c>
      <c r="X2" s="1" t="s">
        <v>81</v>
      </c>
      <c r="Y2" s="1" t="s">
        <v>82</v>
      </c>
      <c r="Z2" s="1" t="s">
        <v>83</v>
      </c>
      <c r="AA2" s="1"/>
      <c r="AB2" s="1"/>
      <c r="AC2">
        <v>2016</v>
      </c>
      <c r="AD2">
        <v>2017</v>
      </c>
      <c r="AE2">
        <f>+AD2+1</f>
        <v>2018</v>
      </c>
      <c r="AF2">
        <f t="shared" ref="AF2:AL2" si="0">+AE2+1</f>
        <v>2019</v>
      </c>
      <c r="AG2">
        <f t="shared" si="0"/>
        <v>2020</v>
      </c>
      <c r="AH2">
        <f t="shared" si="0"/>
        <v>2021</v>
      </c>
      <c r="AI2">
        <f t="shared" si="0"/>
        <v>2022</v>
      </c>
      <c r="AJ2">
        <f t="shared" si="0"/>
        <v>2023</v>
      </c>
      <c r="AK2">
        <f t="shared" si="0"/>
        <v>2024</v>
      </c>
      <c r="AL2">
        <f t="shared" si="0"/>
        <v>2025</v>
      </c>
      <c r="AM2">
        <f t="shared" ref="AM2" si="1">+AL2+1</f>
        <v>2026</v>
      </c>
      <c r="AN2">
        <f t="shared" ref="AN2" si="2">+AM2+1</f>
        <v>2027</v>
      </c>
      <c r="AO2">
        <f t="shared" ref="AO2" si="3">+AN2+1</f>
        <v>2028</v>
      </c>
      <c r="AP2">
        <f t="shared" ref="AP2" si="4">+AO2+1</f>
        <v>2029</v>
      </c>
      <c r="AQ2">
        <f t="shared" ref="AQ2" si="5">+AP2+1</f>
        <v>2030</v>
      </c>
    </row>
    <row r="3" spans="1:43" s="2" customFormat="1" x14ac:dyDescent="0.2">
      <c r="B3" s="2" t="s">
        <v>36</v>
      </c>
      <c r="C3" s="3"/>
      <c r="D3" s="3">
        <v>238</v>
      </c>
      <c r="E3" s="3">
        <v>249</v>
      </c>
      <c r="F3" s="3">
        <v>265</v>
      </c>
      <c r="G3" s="3">
        <v>280</v>
      </c>
      <c r="H3" s="3">
        <v>293</v>
      </c>
      <c r="I3" s="3">
        <f t="shared" ref="I3:U3" si="6">SUM(I4:I6)</f>
        <v>306</v>
      </c>
      <c r="J3" s="3">
        <f t="shared" si="6"/>
        <v>319</v>
      </c>
      <c r="K3" s="3">
        <f t="shared" si="6"/>
        <v>332</v>
      </c>
      <c r="L3" s="3">
        <f t="shared" si="6"/>
        <v>347</v>
      </c>
      <c r="M3" s="3">
        <f t="shared" si="6"/>
        <v>363</v>
      </c>
      <c r="N3" s="3">
        <f t="shared" si="6"/>
        <v>375</v>
      </c>
      <c r="O3" s="3">
        <v>383</v>
      </c>
      <c r="P3" s="3">
        <f t="shared" si="6"/>
        <v>397</v>
      </c>
      <c r="Q3" s="3">
        <f t="shared" si="6"/>
        <v>407</v>
      </c>
      <c r="R3" s="3">
        <f t="shared" si="6"/>
        <v>414</v>
      </c>
      <c r="S3" s="3">
        <f t="shared" si="6"/>
        <v>422</v>
      </c>
      <c r="T3" s="3">
        <f t="shared" si="6"/>
        <v>432</v>
      </c>
      <c r="U3" s="3">
        <f t="shared" si="6"/>
        <v>443</v>
      </c>
      <c r="V3" s="3">
        <v>451</v>
      </c>
      <c r="W3" s="3">
        <v>460</v>
      </c>
      <c r="X3" s="3">
        <v>467</v>
      </c>
      <c r="Y3" s="3">
        <v>475</v>
      </c>
      <c r="Z3" s="3">
        <v>480</v>
      </c>
      <c r="AA3" s="3"/>
    </row>
    <row r="4" spans="1:43" s="2" customFormat="1" x14ac:dyDescent="0.2">
      <c r="B4" s="2" t="s">
        <v>37</v>
      </c>
      <c r="C4" s="3"/>
      <c r="D4" s="3">
        <v>90</v>
      </c>
      <c r="E4" s="3">
        <v>90</v>
      </c>
      <c r="F4" s="3">
        <v>92</v>
      </c>
      <c r="G4" s="3">
        <v>93</v>
      </c>
      <c r="H4" s="3">
        <v>95</v>
      </c>
      <c r="I4" s="3">
        <v>96</v>
      </c>
      <c r="J4" s="3">
        <v>97</v>
      </c>
      <c r="K4" s="3">
        <v>98</v>
      </c>
      <c r="L4" s="3">
        <v>99</v>
      </c>
      <c r="M4" s="3">
        <v>100</v>
      </c>
      <c r="N4" s="3">
        <v>100</v>
      </c>
      <c r="O4" s="3">
        <v>100</v>
      </c>
      <c r="P4" s="3">
        <v>101</v>
      </c>
      <c r="Q4" s="3">
        <v>101</v>
      </c>
      <c r="R4" s="3">
        <v>100</v>
      </c>
      <c r="S4" s="3">
        <v>100</v>
      </c>
      <c r="T4" s="3">
        <v>100</v>
      </c>
      <c r="U4" s="3">
        <v>100</v>
      </c>
      <c r="V4" s="3">
        <v>100</v>
      </c>
      <c r="W4" s="3">
        <v>100</v>
      </c>
      <c r="X4" s="3">
        <v>100</v>
      </c>
      <c r="Y4" s="3">
        <v>100</v>
      </c>
      <c r="Z4" s="3">
        <v>100</v>
      </c>
      <c r="AA4" s="3"/>
    </row>
    <row r="5" spans="1:43" s="2" customFormat="1" x14ac:dyDescent="0.2">
      <c r="B5" s="2" t="s">
        <v>38</v>
      </c>
      <c r="C5" s="3"/>
      <c r="D5" s="3">
        <v>71</v>
      </c>
      <c r="E5" s="3">
        <v>72</v>
      </c>
      <c r="F5" s="3">
        <v>74</v>
      </c>
      <c r="G5" s="3">
        <v>77</v>
      </c>
      <c r="H5" s="3">
        <v>78</v>
      </c>
      <c r="I5" s="3">
        <v>80</v>
      </c>
      <c r="J5" s="3">
        <v>82</v>
      </c>
      <c r="K5" s="3">
        <v>84</v>
      </c>
      <c r="L5" s="3">
        <v>86</v>
      </c>
      <c r="M5" s="3">
        <v>88</v>
      </c>
      <c r="N5" s="3">
        <v>92</v>
      </c>
      <c r="O5" s="3">
        <v>93</v>
      </c>
      <c r="P5" s="3">
        <v>94</v>
      </c>
      <c r="Q5" s="3">
        <v>95</v>
      </c>
      <c r="R5" s="3">
        <v>96</v>
      </c>
      <c r="S5" s="3">
        <v>96</v>
      </c>
      <c r="T5" s="3">
        <v>97</v>
      </c>
      <c r="U5" s="3">
        <v>99</v>
      </c>
      <c r="V5" s="3">
        <v>100</v>
      </c>
      <c r="W5" s="3">
        <v>100</v>
      </c>
      <c r="X5" s="3">
        <v>101</v>
      </c>
      <c r="Y5" s="3">
        <v>102</v>
      </c>
      <c r="Z5" s="3">
        <v>103</v>
      </c>
      <c r="AA5" s="3"/>
    </row>
    <row r="6" spans="1:43" s="2" customFormat="1" x14ac:dyDescent="0.2">
      <c r="B6" s="2" t="s">
        <v>39</v>
      </c>
      <c r="C6" s="3"/>
      <c r="D6" s="3">
        <v>77</v>
      </c>
      <c r="E6" s="3">
        <v>87</v>
      </c>
      <c r="F6" s="3">
        <v>99</v>
      </c>
      <c r="G6" s="3">
        <v>111</v>
      </c>
      <c r="H6" s="3">
        <v>120</v>
      </c>
      <c r="I6" s="3">
        <v>130</v>
      </c>
      <c r="J6" s="3">
        <v>140</v>
      </c>
      <c r="K6" s="3">
        <v>150</v>
      </c>
      <c r="L6" s="3">
        <v>162</v>
      </c>
      <c r="M6" s="3">
        <v>175</v>
      </c>
      <c r="N6" s="3">
        <v>183</v>
      </c>
      <c r="O6" s="3">
        <v>190</v>
      </c>
      <c r="P6" s="3">
        <v>202</v>
      </c>
      <c r="Q6" s="3">
        <v>211</v>
      </c>
      <c r="R6" s="3">
        <v>218</v>
      </c>
      <c r="S6" s="3">
        <v>226</v>
      </c>
      <c r="T6" s="3">
        <v>235</v>
      </c>
      <c r="U6" s="3">
        <v>244</v>
      </c>
      <c r="V6" s="3">
        <f>V3-V4-V5</f>
        <v>251</v>
      </c>
      <c r="W6" s="3">
        <f>W3-W4-W5</f>
        <v>260</v>
      </c>
      <c r="X6" s="3">
        <f>X3-X4-X5</f>
        <v>266</v>
      </c>
      <c r="Y6" s="3">
        <f>Y3-Y4-Y5</f>
        <v>273</v>
      </c>
      <c r="Z6" s="3">
        <f>Z3-Z4-Z5</f>
        <v>277</v>
      </c>
      <c r="AA6" s="3"/>
    </row>
    <row r="7" spans="1:43" s="2" customFormat="1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43" s="2" customFormat="1" x14ac:dyDescent="0.2">
      <c r="B8" s="2" t="s">
        <v>48</v>
      </c>
      <c r="C8" s="3"/>
      <c r="D8" s="3"/>
      <c r="E8" s="3"/>
      <c r="F8" s="3"/>
      <c r="G8" s="3"/>
      <c r="H8" s="3"/>
      <c r="I8" s="4">
        <f t="shared" ref="I8:U8" si="7">+I12/I4</f>
        <v>8.1970520833333342</v>
      </c>
      <c r="J8" s="4">
        <f t="shared" si="7"/>
        <v>9.6090412371134022</v>
      </c>
      <c r="K8" s="4">
        <f t="shared" si="7"/>
        <v>7.7373571428571424</v>
      </c>
      <c r="L8" s="4">
        <f t="shared" si="7"/>
        <v>7.9361717171717174</v>
      </c>
      <c r="M8" s="4">
        <f t="shared" si="7"/>
        <v>8.1160199999999989</v>
      </c>
      <c r="N8" s="4">
        <f t="shared" si="7"/>
        <v>8.8030999999999988</v>
      </c>
      <c r="O8" s="4">
        <f t="shared" si="7"/>
        <v>6.3255999999999997</v>
      </c>
      <c r="P8" s="4">
        <f t="shared" si="7"/>
        <v>6.644267326732674</v>
      </c>
      <c r="Q8" s="4">
        <f t="shared" si="7"/>
        <v>7.6340594059405937</v>
      </c>
      <c r="R8" s="4">
        <f t="shared" si="7"/>
        <v>8.7763000000000009</v>
      </c>
      <c r="S8" s="4">
        <f t="shared" si="7"/>
        <v>7.3338800000000006</v>
      </c>
      <c r="T8" s="4">
        <f t="shared" si="7"/>
        <v>7.4155800000000003</v>
      </c>
      <c r="U8" s="4">
        <f t="shared" si="7"/>
        <v>8.2617899999999995</v>
      </c>
      <c r="V8" s="4">
        <f t="shared" ref="V8:Z9" si="8">R8*1.09</f>
        <v>9.5661670000000019</v>
      </c>
      <c r="W8" s="4">
        <f t="shared" si="8"/>
        <v>7.9939292000000011</v>
      </c>
      <c r="X8" s="4">
        <f t="shared" si="8"/>
        <v>8.0829822000000018</v>
      </c>
      <c r="Y8" s="4">
        <f t="shared" si="8"/>
        <v>9.0053511000000004</v>
      </c>
      <c r="Z8" s="4">
        <f t="shared" si="8"/>
        <v>10.427122030000003</v>
      </c>
      <c r="AA8" s="4"/>
    </row>
    <row r="9" spans="1:43" s="2" customFormat="1" x14ac:dyDescent="0.2">
      <c r="B9" s="2" t="s">
        <v>73</v>
      </c>
      <c r="C9" s="3"/>
      <c r="D9" s="3"/>
      <c r="E9" s="3"/>
      <c r="F9" s="3"/>
      <c r="G9" s="3"/>
      <c r="H9" s="3"/>
      <c r="I9" s="4">
        <f t="shared" ref="I9:U9" si="9">I13/I5</f>
        <v>1.9140125000000001</v>
      </c>
      <c r="J9" s="4">
        <f t="shared" si="9"/>
        <v>2.5477073170731708</v>
      </c>
      <c r="K9" s="4">
        <f t="shared" si="9"/>
        <v>1.9301428571428572</v>
      </c>
      <c r="L9" s="4">
        <f t="shared" si="9"/>
        <v>1.9778720930232558</v>
      </c>
      <c r="M9" s="4">
        <f t="shared" si="9"/>
        <v>1.8340454545454543</v>
      </c>
      <c r="N9" s="4">
        <f t="shared" si="9"/>
        <v>2.3755652173913044</v>
      </c>
      <c r="O9" s="4">
        <f t="shared" si="9"/>
        <v>1.6732795698924732</v>
      </c>
      <c r="P9" s="4">
        <f t="shared" si="9"/>
        <v>1.906744680851064</v>
      </c>
      <c r="Q9" s="4">
        <f t="shared" si="9"/>
        <v>2.0550736842105262</v>
      </c>
      <c r="R9" s="4">
        <f t="shared" si="9"/>
        <v>2.5208020833333333</v>
      </c>
      <c r="S9" s="4">
        <f t="shared" si="9"/>
        <v>2.0842916666666667</v>
      </c>
      <c r="T9" s="4">
        <f t="shared" si="9"/>
        <v>2.4245979381443301</v>
      </c>
      <c r="U9" s="4">
        <f t="shared" si="9"/>
        <v>2.4377979797979799</v>
      </c>
      <c r="V9" s="4">
        <f t="shared" si="8"/>
        <v>2.7476742708333335</v>
      </c>
      <c r="W9" s="4">
        <f t="shared" si="8"/>
        <v>2.2718779166666669</v>
      </c>
      <c r="X9" s="4">
        <f t="shared" si="8"/>
        <v>2.64281175257732</v>
      </c>
      <c r="Y9" s="4">
        <f t="shared" si="8"/>
        <v>2.6571997979797981</v>
      </c>
      <c r="Z9" s="4">
        <f t="shared" si="8"/>
        <v>2.9949649552083337</v>
      </c>
      <c r="AA9" s="4"/>
    </row>
    <row r="10" spans="1:43" s="2" customFormat="1" x14ac:dyDescent="0.2">
      <c r="B10" s="2" t="s">
        <v>74</v>
      </c>
      <c r="C10" s="3"/>
      <c r="D10" s="3"/>
      <c r="E10" s="3"/>
      <c r="F10" s="3"/>
      <c r="G10" s="3"/>
      <c r="H10" s="3"/>
      <c r="I10" s="4"/>
      <c r="J10" s="4"/>
      <c r="K10" s="4"/>
      <c r="L10" s="4"/>
      <c r="M10" s="4"/>
      <c r="N10" s="4"/>
      <c r="O10" s="4">
        <f t="shared" ref="O10:U10" si="10">O14/O6</f>
        <v>1.0549105263157894</v>
      </c>
      <c r="P10" s="4">
        <f t="shared" si="10"/>
        <v>1.0760594059405941</v>
      </c>
      <c r="Q10" s="4">
        <f t="shared" si="10"/>
        <v>1.0534549763033174</v>
      </c>
      <c r="R10" s="4">
        <f t="shared" si="10"/>
        <v>1.1085321100917429</v>
      </c>
      <c r="S10" s="4">
        <f t="shared" si="10"/>
        <v>1.1561637168141594</v>
      </c>
      <c r="T10" s="4">
        <f t="shared" si="10"/>
        <v>1.1063574468085107</v>
      </c>
      <c r="U10" s="4">
        <f t="shared" si="10"/>
        <v>1.250217213114754</v>
      </c>
      <c r="V10" s="4">
        <f>R10*1.16</f>
        <v>1.2858972477064217</v>
      </c>
      <c r="W10" s="4">
        <f>S10*1.16</f>
        <v>1.3411499115044248</v>
      </c>
      <c r="X10" s="4">
        <f>T10*1.16</f>
        <v>1.2833746382978723</v>
      </c>
      <c r="Y10" s="4">
        <f>U10*1.16</f>
        <v>1.4502519672131144</v>
      </c>
      <c r="Z10" s="4">
        <f>V10*1.16</f>
        <v>1.4916408073394489</v>
      </c>
      <c r="AA10" s="4"/>
    </row>
    <row r="11" spans="1:43" s="2" customFormat="1" x14ac:dyDescent="0.2"/>
    <row r="12" spans="1:43" s="2" customFormat="1" x14ac:dyDescent="0.2">
      <c r="B12" s="2" t="s">
        <v>46</v>
      </c>
      <c r="C12" s="3"/>
      <c r="D12" s="3"/>
      <c r="E12" s="3"/>
      <c r="F12" s="3"/>
      <c r="G12" s="3"/>
      <c r="H12" s="3"/>
      <c r="I12" s="3">
        <v>786.91700000000003</v>
      </c>
      <c r="J12" s="3">
        <v>932.077</v>
      </c>
      <c r="K12" s="3">
        <v>758.26099999999997</v>
      </c>
      <c r="L12" s="3">
        <v>785.68100000000004</v>
      </c>
      <c r="M12" s="3">
        <v>811.60199999999998</v>
      </c>
      <c r="N12" s="3">
        <v>880.31</v>
      </c>
      <c r="O12" s="2">
        <v>632.55999999999995</v>
      </c>
      <c r="P12" s="2">
        <v>671.07100000000003</v>
      </c>
      <c r="Q12" s="2">
        <v>771.04</v>
      </c>
      <c r="R12" s="2">
        <f>2952.301-Q12-P12-O12</f>
        <v>877.63000000000011</v>
      </c>
      <c r="S12" s="2">
        <v>733.38800000000003</v>
      </c>
      <c r="T12" s="2">
        <v>741.55799999999999</v>
      </c>
      <c r="U12" s="2">
        <v>826.17899999999997</v>
      </c>
      <c r="V12" s="2">
        <f>V8*V4</f>
        <v>956.61670000000015</v>
      </c>
      <c r="W12" s="2">
        <f>W8*W4</f>
        <v>799.39292000000012</v>
      </c>
      <c r="X12" s="2">
        <f t="shared" ref="V12:Z14" si="11">X8*X4</f>
        <v>808.29822000000013</v>
      </c>
      <c r="Y12" s="2">
        <f t="shared" si="11"/>
        <v>900.53511000000003</v>
      </c>
      <c r="Z12" s="2">
        <f t="shared" si="11"/>
        <v>1042.7122030000003</v>
      </c>
    </row>
    <row r="13" spans="1:43" s="2" customFormat="1" x14ac:dyDescent="0.2">
      <c r="B13" s="2" t="s">
        <v>47</v>
      </c>
      <c r="C13" s="3"/>
      <c r="D13" s="3"/>
      <c r="E13" s="3"/>
      <c r="F13" s="3"/>
      <c r="G13" s="3"/>
      <c r="H13" s="3"/>
      <c r="I13" s="3">
        <v>153.12100000000001</v>
      </c>
      <c r="J13" s="3">
        <v>208.91200000000001</v>
      </c>
      <c r="K13" s="3">
        <v>162.13200000000001</v>
      </c>
      <c r="L13" s="3">
        <v>170.09700000000001</v>
      </c>
      <c r="M13" s="3">
        <v>161.39599999999999</v>
      </c>
      <c r="N13" s="3">
        <v>218.55199999999999</v>
      </c>
      <c r="O13" s="2">
        <v>155.61500000000001</v>
      </c>
      <c r="P13" s="2">
        <v>179.23400000000001</v>
      </c>
      <c r="Q13" s="2">
        <v>195.232</v>
      </c>
      <c r="R13" s="2">
        <f>772.078-Q13-O13-P13</f>
        <v>241.99699999999999</v>
      </c>
      <c r="S13" s="2">
        <v>200.09200000000001</v>
      </c>
      <c r="T13" s="2">
        <v>235.18600000000001</v>
      </c>
      <c r="U13" s="2">
        <v>241.34200000000001</v>
      </c>
      <c r="V13" s="2">
        <f t="shared" si="11"/>
        <v>274.76742708333336</v>
      </c>
      <c r="W13" s="2">
        <f>W9*W5</f>
        <v>227.1877916666667</v>
      </c>
      <c r="X13" s="2">
        <f t="shared" si="11"/>
        <v>266.9239870103093</v>
      </c>
      <c r="Y13" s="2">
        <f t="shared" si="11"/>
        <v>271.03437939393939</v>
      </c>
      <c r="Z13" s="2">
        <f t="shared" si="11"/>
        <v>308.48139038645837</v>
      </c>
    </row>
    <row r="14" spans="1:43" s="2" customFormat="1" x14ac:dyDescent="0.2">
      <c r="B14" s="2" t="s">
        <v>72</v>
      </c>
      <c r="C14" s="3"/>
      <c r="D14" s="3"/>
      <c r="E14" s="3"/>
      <c r="F14" s="3"/>
      <c r="G14" s="3"/>
      <c r="H14" s="3"/>
      <c r="I14" s="3"/>
      <c r="J14" s="3"/>
      <c r="K14" s="3">
        <v>154.40799999999999</v>
      </c>
      <c r="L14" s="3"/>
      <c r="M14" s="3"/>
      <c r="N14" s="3"/>
      <c r="O14" s="2">
        <v>200.43299999999999</v>
      </c>
      <c r="P14" s="2">
        <v>217.364</v>
      </c>
      <c r="Q14" s="2">
        <v>222.279</v>
      </c>
      <c r="R14" s="2">
        <f>881.736-Q14-P14-O14</f>
        <v>241.65999999999997</v>
      </c>
      <c r="S14" s="2">
        <v>261.29300000000001</v>
      </c>
      <c r="T14" s="2">
        <v>259.99400000000003</v>
      </c>
      <c r="U14" s="2">
        <v>305.053</v>
      </c>
      <c r="V14" s="2">
        <f t="shared" si="11"/>
        <v>322.76020917431185</v>
      </c>
      <c r="W14" s="2">
        <f t="shared" si="11"/>
        <v>348.69897699115046</v>
      </c>
      <c r="X14" s="2">
        <f t="shared" si="11"/>
        <v>341.37765378723407</v>
      </c>
      <c r="Y14" s="2">
        <f t="shared" si="11"/>
        <v>395.91878704918025</v>
      </c>
      <c r="Z14" s="2">
        <f t="shared" si="11"/>
        <v>413.18450363302736</v>
      </c>
    </row>
    <row r="15" spans="1:43" s="7" customFormat="1" x14ac:dyDescent="0.2">
      <c r="B15" s="7" t="s">
        <v>8</v>
      </c>
      <c r="C15" s="8"/>
      <c r="D15" s="8"/>
      <c r="E15" s="8">
        <v>678.66800000000001</v>
      </c>
      <c r="F15" s="8">
        <v>911.322</v>
      </c>
      <c r="G15" s="8">
        <v>769.58399999999995</v>
      </c>
      <c r="H15" s="8">
        <v>982.10799999999995</v>
      </c>
      <c r="I15" s="8">
        <v>1067.471</v>
      </c>
      <c r="J15" s="8">
        <v>1297.885</v>
      </c>
      <c r="K15" s="8">
        <v>1062.7270000000001</v>
      </c>
      <c r="L15" s="8">
        <v>1110.9090000000001</v>
      </c>
      <c r="M15" s="8">
        <v>1128.4760000000001</v>
      </c>
      <c r="N15" s="8">
        <v>1300</v>
      </c>
      <c r="O15" s="7">
        <f t="shared" ref="O15:Z15" si="12">SUM(O12:O14)</f>
        <v>988.60799999999995</v>
      </c>
      <c r="P15" s="7">
        <f t="shared" si="12"/>
        <v>1067.6690000000001</v>
      </c>
      <c r="Q15" s="7">
        <f t="shared" si="12"/>
        <v>1188.5509999999999</v>
      </c>
      <c r="R15" s="7">
        <f t="shared" si="12"/>
        <v>1361.2870000000003</v>
      </c>
      <c r="S15" s="7">
        <f t="shared" si="12"/>
        <v>1194.7730000000001</v>
      </c>
      <c r="T15" s="7">
        <f t="shared" si="12"/>
        <v>1236.7380000000001</v>
      </c>
      <c r="U15" s="7">
        <f t="shared" si="12"/>
        <v>1372.5740000000001</v>
      </c>
      <c r="V15" s="7">
        <f>SUM(V12:V14)</f>
        <v>1554.1443362576456</v>
      </c>
      <c r="W15" s="7">
        <f>SUM(W12:W14)</f>
        <v>1375.2796886578171</v>
      </c>
      <c r="X15" s="7">
        <f t="shared" si="12"/>
        <v>1416.5998607975434</v>
      </c>
      <c r="Y15" s="7">
        <f t="shared" si="12"/>
        <v>1567.4882764431197</v>
      </c>
      <c r="Z15" s="7">
        <f t="shared" si="12"/>
        <v>1764.3780970194859</v>
      </c>
      <c r="AC15" s="7">
        <v>404.48200000000003</v>
      </c>
      <c r="AD15" s="7">
        <v>824.94899999999996</v>
      </c>
      <c r="AE15" s="7">
        <v>1180.4459999999999</v>
      </c>
      <c r="AF15" s="7">
        <v>1715.5340000000001</v>
      </c>
      <c r="AG15" s="7">
        <v>2506.6260000000002</v>
      </c>
      <c r="AH15" s="7">
        <f>SUM(G15:J15)</f>
        <v>4117.0479999999998</v>
      </c>
      <c r="AI15" s="7">
        <f>SUM(K15:N15)</f>
        <v>4602.112000000001</v>
      </c>
      <c r="AJ15" s="7">
        <f>SUM(O15:R15)</f>
        <v>4606.1149999999998</v>
      </c>
      <c r="AK15" s="7">
        <f>SUM(S15:V15)</f>
        <v>5358.2293362576456</v>
      </c>
      <c r="AL15" s="7">
        <f>SUM(W15:Z15)</f>
        <v>6123.7459229179658</v>
      </c>
      <c r="AM15" s="7">
        <f>AL15*(1+AM30)</f>
        <v>6998.6299158008351</v>
      </c>
      <c r="AN15" s="7">
        <f>AM15*(1+AN30)</f>
        <v>7998.5063578540885</v>
      </c>
      <c r="AO15" s="7">
        <f>AN15*(1+AO30)</f>
        <v>9141.232602140195</v>
      </c>
      <c r="AP15" s="7">
        <f>AO15*(1+AP30)</f>
        <v>10447.217236300303</v>
      </c>
      <c r="AQ15" s="7">
        <f>AP15*(1+AQ30)</f>
        <v>11939.784570944697</v>
      </c>
    </row>
    <row r="16" spans="1:43" s="2" customFormat="1" x14ac:dyDescent="0.2">
      <c r="B16" s="2" t="s">
        <v>20</v>
      </c>
      <c r="C16" s="3"/>
      <c r="D16" s="3"/>
      <c r="E16" s="3">
        <v>293.09500000000003</v>
      </c>
      <c r="F16" s="3">
        <v>385.54599999999999</v>
      </c>
      <c r="G16" s="3">
        <v>412.601</v>
      </c>
      <c r="H16" s="3">
        <v>445.02100000000002</v>
      </c>
      <c r="I16" s="3">
        <v>443.47300000000001</v>
      </c>
      <c r="J16" s="3">
        <v>449.15100000000001</v>
      </c>
      <c r="K16" s="3">
        <v>420.89699999999999</v>
      </c>
      <c r="L16" s="3">
        <v>446.37700000000001</v>
      </c>
      <c r="M16" s="3">
        <v>466.75700000000001</v>
      </c>
      <c r="N16" s="3">
        <v>481.31099999999998</v>
      </c>
      <c r="O16" s="2">
        <v>439.98599999999999</v>
      </c>
      <c r="P16" s="2">
        <v>496.87400000000002</v>
      </c>
      <c r="Q16" s="2">
        <v>555.75300000000004</v>
      </c>
      <c r="R16" s="2">
        <f>2114.117-Q16-P16-O16</f>
        <v>621.50400000000002</v>
      </c>
      <c r="S16" s="2">
        <v>574.74900000000002</v>
      </c>
      <c r="T16" s="2">
        <v>588.92100000000005</v>
      </c>
      <c r="U16" s="2">
        <v>638.90700000000004</v>
      </c>
      <c r="V16" s="2">
        <f>V15*0.45</f>
        <v>699.36495131594052</v>
      </c>
      <c r="W16" s="2">
        <f>W15*0.45</f>
        <v>618.87585989601769</v>
      </c>
      <c r="X16" s="2">
        <f>X15*0.45</f>
        <v>637.46993735889453</v>
      </c>
      <c r="Y16" s="2">
        <f>Y15*0.45</f>
        <v>705.36972439940394</v>
      </c>
      <c r="Z16" s="2">
        <f>Z15*0.45</f>
        <v>793.97014365876873</v>
      </c>
      <c r="AF16" s="2">
        <v>895.83799999999997</v>
      </c>
      <c r="AG16" s="2">
        <v>1182.5050000000001</v>
      </c>
      <c r="AH16" s="2">
        <f>SUM(G16:J16)</f>
        <v>1750.2460000000001</v>
      </c>
      <c r="AI16" s="2">
        <f>SUM(K16:N16)</f>
        <v>1815.3419999999999</v>
      </c>
      <c r="AJ16" s="12">
        <f>SUM(O16:R16)</f>
        <v>2114.1170000000002</v>
      </c>
      <c r="AK16" s="12">
        <f>SUM(S16:V16)</f>
        <v>2501.941951315941</v>
      </c>
      <c r="AL16" s="12">
        <f>SUM(W16:Z16)</f>
        <v>2755.6856653130849</v>
      </c>
      <c r="AM16" s="2">
        <f>AM15*0.45</f>
        <v>3149.3834621103761</v>
      </c>
      <c r="AN16" s="2">
        <f>AN15*0.45</f>
        <v>3599.32786103434</v>
      </c>
      <c r="AO16" s="2">
        <f>AO15*0.45</f>
        <v>4113.554670963088</v>
      </c>
      <c r="AP16" s="2">
        <f>AP15*0.45</f>
        <v>4701.2477563351367</v>
      </c>
      <c r="AQ16" s="2">
        <f>AQ15*0.45</f>
        <v>5372.9030569251136</v>
      </c>
    </row>
    <row r="17" spans="2:109 16384:16384" s="2" customFormat="1" x14ac:dyDescent="0.2">
      <c r="B17" s="2" t="s">
        <v>21</v>
      </c>
      <c r="C17" s="3"/>
      <c r="D17" s="3"/>
      <c r="E17" s="3">
        <f t="shared" ref="E17" si="13">+E15-E16</f>
        <v>385.57299999999998</v>
      </c>
      <c r="F17" s="3">
        <f t="shared" ref="F17:G17" si="14">+F15-F16</f>
        <v>525.77600000000007</v>
      </c>
      <c r="G17" s="3">
        <f t="shared" si="14"/>
        <v>356.98299999999995</v>
      </c>
      <c r="H17" s="3">
        <f>+H15-H16</f>
        <v>537.08699999999999</v>
      </c>
      <c r="I17" s="3">
        <f t="shared" ref="I17" si="15">+I15-I16</f>
        <v>623.99800000000005</v>
      </c>
      <c r="J17" s="3">
        <f t="shared" ref="J17" si="16">+J15-J16</f>
        <v>848.73399999999992</v>
      </c>
      <c r="K17" s="3">
        <f t="shared" ref="K17:Z17" si="17">+K15-K16</f>
        <v>641.83000000000015</v>
      </c>
      <c r="L17" s="3">
        <f t="shared" si="17"/>
        <v>664.53200000000015</v>
      </c>
      <c r="M17" s="3">
        <f t="shared" si="17"/>
        <v>661.71900000000005</v>
      </c>
      <c r="N17" s="3">
        <f t="shared" si="17"/>
        <v>818.68900000000008</v>
      </c>
      <c r="O17" s="3">
        <f t="shared" si="17"/>
        <v>548.62199999999996</v>
      </c>
      <c r="P17" s="3">
        <f t="shared" si="17"/>
        <v>570.79500000000007</v>
      </c>
      <c r="Q17" s="3">
        <f t="shared" si="17"/>
        <v>632.79799999999989</v>
      </c>
      <c r="R17" s="3">
        <f t="shared" si="17"/>
        <v>739.78300000000024</v>
      </c>
      <c r="S17" s="3">
        <f t="shared" si="17"/>
        <v>620.02400000000011</v>
      </c>
      <c r="T17" s="3">
        <f t="shared" si="17"/>
        <v>647.81700000000001</v>
      </c>
      <c r="U17" s="3">
        <f t="shared" si="17"/>
        <v>733.66700000000003</v>
      </c>
      <c r="V17" s="3">
        <f t="shared" si="17"/>
        <v>854.77938494170508</v>
      </c>
      <c r="W17" s="3">
        <f t="shared" si="17"/>
        <v>756.40382876179945</v>
      </c>
      <c r="X17" s="3">
        <f t="shared" si="17"/>
        <v>779.12992343864892</v>
      </c>
      <c r="Y17" s="3">
        <f t="shared" si="17"/>
        <v>862.11855204371579</v>
      </c>
      <c r="Z17" s="3">
        <f t="shared" si="17"/>
        <v>970.40795336071722</v>
      </c>
      <c r="AA17" s="3"/>
      <c r="AF17" s="2">
        <f t="shared" ref="AF17" si="18">+AF15-AF16</f>
        <v>819.69600000000014</v>
      </c>
      <c r="AG17" s="2">
        <f t="shared" ref="AG17:AQ17" si="19">+AG15-AG16</f>
        <v>1324.1210000000001</v>
      </c>
      <c r="AH17" s="2">
        <f t="shared" si="19"/>
        <v>2366.8019999999997</v>
      </c>
      <c r="AI17" s="2">
        <f t="shared" si="19"/>
        <v>2786.7700000000013</v>
      </c>
      <c r="AJ17" s="12">
        <f t="shared" si="19"/>
        <v>2491.9979999999996</v>
      </c>
      <c r="AK17" s="12">
        <f t="shared" si="19"/>
        <v>2856.2873849417047</v>
      </c>
      <c r="AL17" s="12">
        <f t="shared" si="19"/>
        <v>3368.0602576048809</v>
      </c>
      <c r="AM17" s="12">
        <f t="shared" si="19"/>
        <v>3849.246453690459</v>
      </c>
      <c r="AN17" s="12">
        <f t="shared" si="19"/>
        <v>4399.178496819748</v>
      </c>
      <c r="AO17" s="12">
        <f t="shared" si="19"/>
        <v>5027.677931177107</v>
      </c>
      <c r="AP17" s="12">
        <f t="shared" si="19"/>
        <v>5745.9694799651661</v>
      </c>
      <c r="AQ17" s="12">
        <f t="shared" si="19"/>
        <v>6566.8815140195838</v>
      </c>
    </row>
    <row r="18" spans="2:109 16384:16384" s="2" customFormat="1" x14ac:dyDescent="0.2">
      <c r="B18" s="2" t="s">
        <v>22</v>
      </c>
      <c r="C18" s="3"/>
      <c r="D18" s="3"/>
      <c r="E18" s="3">
        <v>283.63900000000001</v>
      </c>
      <c r="F18" s="3">
        <v>318.44600000000003</v>
      </c>
      <c r="G18" s="3">
        <v>348.58</v>
      </c>
      <c r="H18" s="3">
        <v>370.67099999999999</v>
      </c>
      <c r="I18" s="3">
        <v>412.02100000000002</v>
      </c>
      <c r="J18" s="3">
        <v>434.19499999999999</v>
      </c>
      <c r="K18" s="3">
        <v>455.56299999999999</v>
      </c>
      <c r="L18" s="3">
        <v>505.03699999999998</v>
      </c>
      <c r="M18" s="3">
        <v>564.25800000000004</v>
      </c>
      <c r="N18" s="3">
        <v>584.94200000000001</v>
      </c>
      <c r="O18" s="2">
        <v>455.11200000000002</v>
      </c>
      <c r="P18" s="2">
        <v>477.66300000000001</v>
      </c>
      <c r="Q18" s="2">
        <v>494.55900000000003</v>
      </c>
      <c r="R18" s="2">
        <f>1910.862-Q18-P18-O18</f>
        <v>483.52800000000008</v>
      </c>
      <c r="S18" s="2">
        <f>449.759</f>
        <v>449.75900000000001</v>
      </c>
      <c r="T18" s="2">
        <v>406.19600000000003</v>
      </c>
      <c r="U18" s="2">
        <v>412.791</v>
      </c>
      <c r="V18" s="2">
        <f>U18*1.02</f>
        <v>421.04682000000003</v>
      </c>
      <c r="W18" s="2">
        <f>V18*0.99</f>
        <v>416.83635180000005</v>
      </c>
      <c r="X18" s="2">
        <f>W18*0.99</f>
        <v>412.66798828200007</v>
      </c>
      <c r="Y18" s="2">
        <f>X18*0.99</f>
        <v>408.54130839918008</v>
      </c>
      <c r="Z18" s="2">
        <f>Y18*0.99</f>
        <v>404.45589531518829</v>
      </c>
      <c r="AF18" s="2">
        <v>883.50900000000001</v>
      </c>
      <c r="AG18" s="2">
        <v>1101.5609999999999</v>
      </c>
      <c r="AH18" s="2">
        <f>SUM(G18:J18)</f>
        <v>1565.4669999999999</v>
      </c>
      <c r="AI18" s="2">
        <f t="shared" ref="AI18:AI20" si="20">SUM(K18:N18)</f>
        <v>2109.8000000000002</v>
      </c>
      <c r="AJ18" s="12">
        <f>SUM(O18:R18)</f>
        <v>1910.8620000000001</v>
      </c>
      <c r="AK18" s="12">
        <f>SUM(S18:V18)</f>
        <v>1689.7928200000001</v>
      </c>
      <c r="AL18" s="12">
        <f>SUM(W18:Z18)</f>
        <v>1642.5015437963684</v>
      </c>
      <c r="AM18" s="2">
        <f>AL18*1.07</f>
        <v>1757.4766518621143</v>
      </c>
      <c r="AN18" s="2">
        <f>AM18*1.07</f>
        <v>1880.5000174924623</v>
      </c>
      <c r="AO18" s="2">
        <f>AN18*1.07</f>
        <v>2012.1350187169348</v>
      </c>
      <c r="AP18" s="2">
        <f>AO18*1.07</f>
        <v>2152.9844700271206</v>
      </c>
      <c r="AQ18" s="2">
        <f>AP18*1.07</f>
        <v>2303.6933829290192</v>
      </c>
    </row>
    <row r="19" spans="2:109 16384:16384" s="2" customFormat="1" x14ac:dyDescent="0.2">
      <c r="B19" s="2" t="s">
        <v>23</v>
      </c>
      <c r="C19" s="3"/>
      <c r="D19" s="3"/>
      <c r="E19" s="3">
        <v>143.511</v>
      </c>
      <c r="F19" s="3">
        <v>157.63399999999999</v>
      </c>
      <c r="G19" s="3">
        <v>150.286</v>
      </c>
      <c r="H19" s="3">
        <v>179.72399999999999</v>
      </c>
      <c r="I19" s="3">
        <v>217.52600000000001</v>
      </c>
      <c r="J19" s="3">
        <v>245.22800000000001</v>
      </c>
      <c r="K19" s="3">
        <v>241.886</v>
      </c>
      <c r="L19" s="3">
        <v>311.37400000000002</v>
      </c>
      <c r="M19" s="3">
        <v>270.33600000000001</v>
      </c>
      <c r="N19" s="3">
        <v>295.14999999999998</v>
      </c>
      <c r="O19" s="2">
        <v>268.43299999999999</v>
      </c>
      <c r="P19" s="2">
        <v>280.59699999999998</v>
      </c>
      <c r="Q19" s="2">
        <v>297.25099999999998</v>
      </c>
      <c r="R19" s="2">
        <f>1122.092-Q19-P19-O19</f>
        <v>275.81100000000015</v>
      </c>
      <c r="S19" s="2">
        <v>276.03399999999999</v>
      </c>
      <c r="T19" s="2">
        <v>266.32</v>
      </c>
      <c r="U19" s="2">
        <v>273.10700000000003</v>
      </c>
      <c r="V19" s="2">
        <f>U19*0.88</f>
        <v>240.33416000000003</v>
      </c>
      <c r="W19" s="2">
        <f>V19*0.88</f>
        <v>211.49406080000003</v>
      </c>
      <c r="X19" s="2">
        <f>W19*0.88</f>
        <v>186.11477350400003</v>
      </c>
      <c r="Y19" s="2">
        <f>X19*0.88</f>
        <v>163.78100068352003</v>
      </c>
      <c r="Z19" s="2">
        <f>Y19*0.88</f>
        <v>144.12728060149763</v>
      </c>
      <c r="AF19" s="2">
        <v>458.59800000000001</v>
      </c>
      <c r="AG19" s="2">
        <v>555.46799999999996</v>
      </c>
      <c r="AH19" s="2">
        <f>SUM(G19:J19)</f>
        <v>792.76400000000012</v>
      </c>
      <c r="AI19" s="2">
        <f t="shared" si="20"/>
        <v>1118.7460000000001</v>
      </c>
      <c r="AJ19" s="12">
        <f>SUM(O19:R19)</f>
        <v>1122.0920000000001</v>
      </c>
      <c r="AK19" s="12">
        <f>SUM(S19:V19)</f>
        <v>1055.7951600000001</v>
      </c>
      <c r="AL19" s="12">
        <f>SUM(W19:Z19)</f>
        <v>705.51711558901775</v>
      </c>
      <c r="AM19" s="2">
        <f>AL19*1.1</f>
        <v>776.06882714791959</v>
      </c>
      <c r="AN19" s="2">
        <f>AM19*1.1</f>
        <v>853.67570986271164</v>
      </c>
      <c r="AO19" s="2">
        <f>AN19*1.1</f>
        <v>939.04328084898293</v>
      </c>
      <c r="AP19" s="2">
        <f>AO19*1.1</f>
        <v>1032.9476089338814</v>
      </c>
      <c r="AQ19" s="2">
        <f>AP19*1.1</f>
        <v>1136.2423698272696</v>
      </c>
    </row>
    <row r="20" spans="2:109 16384:16384" s="2" customFormat="1" x14ac:dyDescent="0.2">
      <c r="B20" s="2" t="s">
        <v>24</v>
      </c>
      <c r="C20" s="3"/>
      <c r="D20" s="3"/>
      <c r="E20" s="3">
        <v>126.28700000000001</v>
      </c>
      <c r="F20" s="3">
        <v>146.93199999999999</v>
      </c>
      <c r="G20" s="3">
        <v>161.72300000000001</v>
      </c>
      <c r="H20" s="3">
        <v>179.20400000000001</v>
      </c>
      <c r="I20" s="3">
        <v>175.27500000000001</v>
      </c>
      <c r="J20" s="3">
        <v>194.43799999999999</v>
      </c>
      <c r="K20" s="3">
        <v>215.90799999999999</v>
      </c>
      <c r="L20" s="3">
        <v>249.06100000000001</v>
      </c>
      <c r="M20" s="3">
        <v>262.36700000000002</v>
      </c>
      <c r="N20" s="3">
        <v>225.929</v>
      </c>
      <c r="O20" s="2">
        <v>190.321</v>
      </c>
      <c r="P20" s="2">
        <v>216.874</v>
      </c>
      <c r="Q20" s="2">
        <v>221.05099999999999</v>
      </c>
      <c r="R20" s="2">
        <f>857.423-Q20-O20-P20</f>
        <v>229.17700000000005</v>
      </c>
      <c r="S20" s="2">
        <v>227.46299999999999</v>
      </c>
      <c r="T20" s="2">
        <v>229.30600000000001</v>
      </c>
      <c r="U20" s="2">
        <v>220.97900000000001</v>
      </c>
      <c r="V20" s="2">
        <f>U20*1</f>
        <v>220.97900000000001</v>
      </c>
      <c r="W20" s="2">
        <f>V20*1</f>
        <v>220.97900000000001</v>
      </c>
      <c r="X20" s="2">
        <f>W20*1</f>
        <v>220.97900000000001</v>
      </c>
      <c r="Y20" s="2">
        <f>X20*1</f>
        <v>220.97900000000001</v>
      </c>
      <c r="Z20" s="2">
        <f>Y20*1</f>
        <v>220.97900000000001</v>
      </c>
      <c r="AF20" s="2">
        <v>580.91700000000003</v>
      </c>
      <c r="AG20" s="2">
        <v>529.16399999999999</v>
      </c>
      <c r="AH20" s="2">
        <f>SUM(G20:J20)</f>
        <v>710.64</v>
      </c>
      <c r="AI20" s="2">
        <f t="shared" si="20"/>
        <v>953.26499999999999</v>
      </c>
      <c r="AJ20" s="12">
        <f>SUM(O20:R20)</f>
        <v>857.423</v>
      </c>
      <c r="AK20" s="12">
        <f>SUM(S20:V20)</f>
        <v>898.72700000000009</v>
      </c>
      <c r="AL20" s="12">
        <f>SUM(W20:Z20)</f>
        <v>883.91600000000005</v>
      </c>
      <c r="AM20" s="2">
        <f>AL20*1.04</f>
        <v>919.27264000000014</v>
      </c>
      <c r="AN20" s="2">
        <f>AM20*1.04</f>
        <v>956.04354560000013</v>
      </c>
      <c r="AO20" s="2">
        <f>AN20*1.04</f>
        <v>994.28528742400022</v>
      </c>
      <c r="AP20" s="2">
        <f>AO20*1.04</f>
        <v>1034.0566989209603</v>
      </c>
      <c r="AQ20" s="2">
        <f>AP20*1.04</f>
        <v>1075.4189668777988</v>
      </c>
    </row>
    <row r="21" spans="2:109 16384:16384" s="2" customFormat="1" x14ac:dyDescent="0.2">
      <c r="B21" s="2" t="s">
        <v>25</v>
      </c>
      <c r="C21" s="3"/>
      <c r="D21" s="3"/>
      <c r="E21" s="3">
        <f t="shared" ref="E21" si="21">SUM(E18:E20)</f>
        <v>553.43700000000001</v>
      </c>
      <c r="F21" s="3">
        <f t="shared" ref="F21:G21" si="22">SUM(F18:F20)</f>
        <v>623.01200000000006</v>
      </c>
      <c r="G21" s="3">
        <f t="shared" si="22"/>
        <v>660.58899999999994</v>
      </c>
      <c r="H21" s="3">
        <f>SUM(H18:H20)</f>
        <v>729.59899999999993</v>
      </c>
      <c r="I21" s="3">
        <f t="shared" ref="I21" si="23">SUM(I18:I20)</f>
        <v>804.822</v>
      </c>
      <c r="J21" s="3">
        <f t="shared" ref="J21" si="24">SUM(J18:J20)</f>
        <v>873.86099999999999</v>
      </c>
      <c r="K21" s="3">
        <f t="shared" ref="K21" si="25">SUM(K18:K20)</f>
        <v>913.35699999999997</v>
      </c>
      <c r="L21" s="3">
        <f t="shared" ref="L21:Z21" si="26">SUM(L18:L20)</f>
        <v>1065.472</v>
      </c>
      <c r="M21" s="3">
        <f t="shared" si="26"/>
        <v>1096.961</v>
      </c>
      <c r="N21" s="3">
        <f t="shared" si="26"/>
        <v>1106.021</v>
      </c>
      <c r="O21" s="3">
        <f t="shared" si="26"/>
        <v>913.8660000000001</v>
      </c>
      <c r="P21" s="3">
        <f t="shared" si="26"/>
        <v>975.13400000000001</v>
      </c>
      <c r="Q21" s="3">
        <f t="shared" si="26"/>
        <v>1012.8609999999999</v>
      </c>
      <c r="R21" s="3">
        <f t="shared" si="26"/>
        <v>988.51600000000019</v>
      </c>
      <c r="S21" s="3">
        <f t="shared" si="26"/>
        <v>953.25599999999997</v>
      </c>
      <c r="T21" s="3">
        <f t="shared" si="26"/>
        <v>901.82200000000012</v>
      </c>
      <c r="U21" s="3">
        <f t="shared" si="26"/>
        <v>906.87700000000007</v>
      </c>
      <c r="V21" s="3">
        <f t="shared" si="26"/>
        <v>882.35998000000006</v>
      </c>
      <c r="W21" s="3">
        <f t="shared" si="26"/>
        <v>849.30941260000009</v>
      </c>
      <c r="X21" s="3">
        <f t="shared" si="26"/>
        <v>819.76176178600008</v>
      </c>
      <c r="Y21" s="3">
        <f t="shared" si="26"/>
        <v>793.30130908270019</v>
      </c>
      <c r="Z21" s="3">
        <f t="shared" si="26"/>
        <v>769.56217591668599</v>
      </c>
      <c r="AA21" s="3"/>
      <c r="AF21" s="2">
        <f t="shared" ref="AF21" si="27">SUM(AF18:AF20)</f>
        <v>1923.0239999999999</v>
      </c>
      <c r="AG21" s="2">
        <f>SUM(AG18:AG20)</f>
        <v>2186.1930000000002</v>
      </c>
      <c r="AH21" s="2">
        <f t="shared" ref="AH21:AI21" si="28">SUM(AH18:AH20)</f>
        <v>3068.8709999999996</v>
      </c>
      <c r="AI21" s="2">
        <f t="shared" si="28"/>
        <v>4181.8110000000006</v>
      </c>
      <c r="AJ21" s="12">
        <f t="shared" ref="AJ21:AQ21" si="29">SUM(AJ18:AJ20)</f>
        <v>3890.3770000000004</v>
      </c>
      <c r="AK21" s="12">
        <f t="shared" si="29"/>
        <v>3644.3149800000001</v>
      </c>
      <c r="AL21" s="12">
        <f t="shared" si="29"/>
        <v>3231.9346593853861</v>
      </c>
      <c r="AM21" s="12">
        <f t="shared" si="29"/>
        <v>3452.818119010034</v>
      </c>
      <c r="AN21" s="12">
        <f t="shared" si="29"/>
        <v>3690.2192729551739</v>
      </c>
      <c r="AO21" s="12">
        <f t="shared" si="29"/>
        <v>3945.463586989918</v>
      </c>
      <c r="AP21" s="12">
        <f t="shared" si="29"/>
        <v>4219.9887778819621</v>
      </c>
      <c r="AQ21" s="12">
        <f t="shared" si="29"/>
        <v>4515.3547196340878</v>
      </c>
    </row>
    <row r="22" spans="2:109 16384:16384" s="2" customFormat="1" x14ac:dyDescent="0.2">
      <c r="B22" s="2" t="s">
        <v>26</v>
      </c>
      <c r="C22" s="3"/>
      <c r="D22" s="3"/>
      <c r="E22" s="3">
        <f t="shared" ref="E22" si="30">E17-E21</f>
        <v>-167.86400000000003</v>
      </c>
      <c r="F22" s="3">
        <f t="shared" ref="F22:G22" si="31">F17-F21</f>
        <v>-97.23599999999999</v>
      </c>
      <c r="G22" s="3">
        <f t="shared" si="31"/>
        <v>-303.60599999999999</v>
      </c>
      <c r="H22" s="3">
        <f>H17-H21</f>
        <v>-192.51199999999994</v>
      </c>
      <c r="I22" s="3">
        <f t="shared" ref="I22" si="32">I17-I21</f>
        <v>-180.82399999999996</v>
      </c>
      <c r="J22" s="3">
        <f t="shared" ref="J22" si="33">J17-J21</f>
        <v>-25.127000000000066</v>
      </c>
      <c r="K22" s="3">
        <f t="shared" ref="K22" si="34">K17-K21</f>
        <v>-271.52699999999982</v>
      </c>
      <c r="L22" s="3">
        <f t="shared" ref="L22:Z22" si="35">L17-L21</f>
        <v>-400.93999999999983</v>
      </c>
      <c r="M22" s="3">
        <f t="shared" si="35"/>
        <v>-435.24199999999996</v>
      </c>
      <c r="N22" s="3">
        <f t="shared" si="35"/>
        <v>-287.33199999999988</v>
      </c>
      <c r="O22" s="3">
        <f t="shared" si="35"/>
        <v>-365.24400000000014</v>
      </c>
      <c r="P22" s="3">
        <f t="shared" si="35"/>
        <v>-404.33899999999994</v>
      </c>
      <c r="Q22" s="3">
        <f t="shared" si="35"/>
        <v>-380.06299999999999</v>
      </c>
      <c r="R22" s="3">
        <f t="shared" si="35"/>
        <v>-248.73299999999995</v>
      </c>
      <c r="S22" s="3">
        <f t="shared" si="35"/>
        <v>-333.23199999999986</v>
      </c>
      <c r="T22" s="3">
        <f t="shared" si="35"/>
        <v>-254.00500000000011</v>
      </c>
      <c r="U22" s="3">
        <f t="shared" si="35"/>
        <v>-173.21000000000004</v>
      </c>
      <c r="V22" s="3">
        <f t="shared" si="35"/>
        <v>-27.580595058294989</v>
      </c>
      <c r="W22" s="3">
        <f t="shared" si="35"/>
        <v>-92.905583838200641</v>
      </c>
      <c r="X22" s="3">
        <f t="shared" si="35"/>
        <v>-40.631838347351163</v>
      </c>
      <c r="Y22" s="3">
        <f t="shared" si="35"/>
        <v>68.817242961015609</v>
      </c>
      <c r="Z22" s="3">
        <f t="shared" si="35"/>
        <v>200.84577744403123</v>
      </c>
      <c r="AA22" s="3"/>
      <c r="AF22" s="2">
        <f t="shared" ref="AF22" si="36">+AF17-AF21</f>
        <v>-1103.3279999999997</v>
      </c>
      <c r="AG22" s="2">
        <f>+AG17-AG21</f>
        <v>-862.07200000000012</v>
      </c>
      <c r="AH22" s="2">
        <f t="shared" ref="AH22:AI22" si="37">+AH17-AH21</f>
        <v>-702.06899999999996</v>
      </c>
      <c r="AI22" s="2">
        <f t="shared" si="37"/>
        <v>-1395.0409999999993</v>
      </c>
      <c r="AJ22" s="12">
        <f t="shared" ref="AJ22:AQ22" si="38">+AJ17-AJ21</f>
        <v>-1398.3790000000008</v>
      </c>
      <c r="AK22" s="12">
        <f t="shared" si="38"/>
        <v>-788.02759505829545</v>
      </c>
      <c r="AL22" s="12">
        <f t="shared" si="38"/>
        <v>136.1255982194948</v>
      </c>
      <c r="AM22" s="12">
        <f t="shared" si="38"/>
        <v>396.428334680425</v>
      </c>
      <c r="AN22" s="12">
        <f t="shared" si="38"/>
        <v>708.95922386457414</v>
      </c>
      <c r="AO22" s="12">
        <f t="shared" si="38"/>
        <v>1082.214344187189</v>
      </c>
      <c r="AP22" s="12">
        <f t="shared" si="38"/>
        <v>1525.9807020832041</v>
      </c>
      <c r="AQ22" s="12">
        <f t="shared" si="38"/>
        <v>2051.526794385496</v>
      </c>
    </row>
    <row r="23" spans="2:109 16384:16384" s="2" customFormat="1" x14ac:dyDescent="0.2">
      <c r="B23" s="2" t="s">
        <v>27</v>
      </c>
      <c r="C23" s="3"/>
      <c r="D23" s="3"/>
      <c r="E23" s="3">
        <f t="shared" ref="E23" si="39">2.801-28.212</f>
        <v>-25.411000000000001</v>
      </c>
      <c r="F23" s="3">
        <f>1.969-29.176</f>
        <v>-27.206999999999997</v>
      </c>
      <c r="G23" s="3">
        <f>1.137-5.031</f>
        <v>-3.8939999999999997</v>
      </c>
      <c r="H23" s="3">
        <f>1.251-4.564</f>
        <v>-3.3130000000000002</v>
      </c>
      <c r="I23" s="3">
        <f t="shared" ref="I23" si="40">1.257-4.031</f>
        <v>-2.774</v>
      </c>
      <c r="J23" s="3">
        <f>1.554-4.05</f>
        <v>-2.4959999999999996</v>
      </c>
      <c r="K23" s="3">
        <f>3.123-5.173</f>
        <v>-2.0499999999999998</v>
      </c>
      <c r="L23" s="3">
        <f>8.331-5.549</f>
        <v>2.7819999999999991</v>
      </c>
      <c r="M23" s="3">
        <f>18.445-5.425</f>
        <v>13.02</v>
      </c>
      <c r="N23" s="3">
        <f>28.698-5.312</f>
        <v>23.385999999999999</v>
      </c>
      <c r="O23" s="2">
        <f>37.948-5.885</f>
        <v>32.063000000000002</v>
      </c>
      <c r="P23" s="2">
        <f>43.144-5.343</f>
        <v>37.801000000000002</v>
      </c>
      <c r="Q23" s="2">
        <f>43.939-5.521</f>
        <v>38.417999999999999</v>
      </c>
      <c r="R23" s="2">
        <f>168.394-22.024-Q23-P23-O23</f>
        <v>38.087999999999994</v>
      </c>
      <c r="S23" s="2">
        <f>39.898-4.743</f>
        <v>35.155000000000001</v>
      </c>
      <c r="T23" s="2">
        <f>36.462-5.113</f>
        <v>31.349000000000004</v>
      </c>
      <c r="U23" s="2">
        <f>38.533-5.883</f>
        <v>32.65</v>
      </c>
      <c r="V23" s="2">
        <v>35</v>
      </c>
      <c r="W23" s="2">
        <v>35</v>
      </c>
      <c r="X23" s="2">
        <v>35</v>
      </c>
      <c r="Y23" s="2">
        <v>35</v>
      </c>
      <c r="Z23" s="2">
        <v>35</v>
      </c>
      <c r="AF23" s="2">
        <f>36.042-24.994</f>
        <v>11.048000000000002</v>
      </c>
      <c r="AG23" s="2">
        <f>18.127-97.228</f>
        <v>-79.100999999999999</v>
      </c>
      <c r="AH23" s="2">
        <f>SUM(G23:J23)</f>
        <v>-12.477</v>
      </c>
      <c r="AI23" s="2">
        <f t="shared" ref="AI23:AI25" si="41">SUM(K23:N23)</f>
        <v>37.137999999999998</v>
      </c>
      <c r="AJ23" s="12">
        <f>SUM(O23:R23)</f>
        <v>146.37</v>
      </c>
      <c r="AK23" s="12">
        <f>SUM(S23:V23)</f>
        <v>134.154</v>
      </c>
      <c r="AL23" s="12">
        <f>SUM(W23:Z23)</f>
        <v>140</v>
      </c>
      <c r="AM23" s="2">
        <f>AM36*$AU$35</f>
        <v>119.642040031612</v>
      </c>
      <c r="AN23" s="2">
        <f>AN36*$AU$35</f>
        <v>124.80274377873236</v>
      </c>
      <c r="AO23" s="2">
        <f>AO36*$AU$35</f>
        <v>131.80634430693613</v>
      </c>
      <c r="AP23" s="2">
        <f>AO23+AP36*AX35</f>
        <v>131.80634430693613</v>
      </c>
      <c r="AQ23" s="2">
        <f>AP23+AQ36*AY35</f>
        <v>131.80634430693613</v>
      </c>
    </row>
    <row r="24" spans="2:109 16384:16384" s="2" customFormat="1" x14ac:dyDescent="0.2">
      <c r="B24" s="2" t="s">
        <v>28</v>
      </c>
      <c r="C24" s="3"/>
      <c r="D24" s="3"/>
      <c r="E24" s="3">
        <f t="shared" ref="E24" si="42">+E22+E23</f>
        <v>-193.27500000000003</v>
      </c>
      <c r="F24" s="3">
        <f t="shared" ref="F24:G24" si="43">+F22+F23</f>
        <v>-124.44299999999998</v>
      </c>
      <c r="G24" s="3">
        <f t="shared" si="43"/>
        <v>-307.5</v>
      </c>
      <c r="H24" s="3">
        <f>+H22+H23</f>
        <v>-195.82499999999993</v>
      </c>
      <c r="I24" s="3">
        <f t="shared" ref="I24" si="44">+I22+I23</f>
        <v>-183.59799999999996</v>
      </c>
      <c r="J24" s="3">
        <f t="shared" ref="J24" si="45">+J22+J23</f>
        <v>-27.623000000000065</v>
      </c>
      <c r="K24" s="3">
        <f t="shared" ref="K24:Z24" si="46">+K22+K23</f>
        <v>-273.57699999999983</v>
      </c>
      <c r="L24" s="3">
        <f t="shared" si="46"/>
        <v>-398.15799999999984</v>
      </c>
      <c r="M24" s="3">
        <f t="shared" si="46"/>
        <v>-422.22199999999998</v>
      </c>
      <c r="N24" s="3">
        <f t="shared" si="46"/>
        <v>-263.94599999999986</v>
      </c>
      <c r="O24" s="3">
        <f t="shared" si="46"/>
        <v>-333.18100000000015</v>
      </c>
      <c r="P24" s="3">
        <f t="shared" si="46"/>
        <v>-366.53799999999995</v>
      </c>
      <c r="Q24" s="3">
        <f t="shared" si="46"/>
        <v>-341.64499999999998</v>
      </c>
      <c r="R24" s="3">
        <f t="shared" si="46"/>
        <v>-210.64499999999995</v>
      </c>
      <c r="S24" s="3">
        <f t="shared" si="46"/>
        <v>-298.07699999999988</v>
      </c>
      <c r="T24" s="3">
        <f t="shared" si="46"/>
        <v>-222.65600000000012</v>
      </c>
      <c r="U24" s="3">
        <f t="shared" si="46"/>
        <v>-140.56000000000003</v>
      </c>
      <c r="V24" s="3">
        <f t="shared" si="46"/>
        <v>7.419404941705011</v>
      </c>
      <c r="W24" s="3">
        <f t="shared" si="46"/>
        <v>-57.905583838200641</v>
      </c>
      <c r="X24" s="3">
        <f t="shared" si="46"/>
        <v>-5.6318383473511631</v>
      </c>
      <c r="Y24" s="3">
        <f t="shared" si="46"/>
        <v>103.81724296101561</v>
      </c>
      <c r="Z24" s="3">
        <f t="shared" si="46"/>
        <v>235.84577744403123</v>
      </c>
      <c r="AA24" s="3"/>
      <c r="AF24" s="2">
        <f t="shared" ref="AF24" si="47">+AF22+AF23</f>
        <v>-1092.2799999999997</v>
      </c>
      <c r="AG24" s="2">
        <f t="shared" ref="AG24:AN24" si="48">+AG22+AG23</f>
        <v>-941.17300000000012</v>
      </c>
      <c r="AH24" s="2">
        <f t="shared" si="48"/>
        <v>-714.54599999999994</v>
      </c>
      <c r="AI24" s="2">
        <f t="shared" si="48"/>
        <v>-1357.9029999999993</v>
      </c>
      <c r="AJ24" s="12">
        <f t="shared" si="48"/>
        <v>-1252.0090000000009</v>
      </c>
      <c r="AK24" s="12">
        <f t="shared" si="48"/>
        <v>-653.87359505829545</v>
      </c>
      <c r="AL24" s="12">
        <f t="shared" si="48"/>
        <v>276.1255982194948</v>
      </c>
      <c r="AM24" s="12">
        <f t="shared" si="48"/>
        <v>516.07037471203694</v>
      </c>
      <c r="AN24" s="12">
        <f t="shared" si="48"/>
        <v>833.76196764330655</v>
      </c>
      <c r="AO24" s="12">
        <f t="shared" ref="AO24:AQ24" si="49">+AO22+AO23</f>
        <v>1214.0206884941251</v>
      </c>
      <c r="AP24" s="12">
        <f t="shared" si="49"/>
        <v>1657.7870463901402</v>
      </c>
      <c r="AQ24" s="12">
        <f t="shared" si="49"/>
        <v>2183.3331386924319</v>
      </c>
    </row>
    <row r="25" spans="2:109 16384:16384" s="2" customFormat="1" x14ac:dyDescent="0.2">
      <c r="B25" s="2" t="s">
        <v>29</v>
      </c>
      <c r="C25" s="3"/>
      <c r="D25" s="3"/>
      <c r="E25" s="3">
        <v>0.90900000000000003</v>
      </c>
      <c r="F25" s="3">
        <v>18.126999999999999</v>
      </c>
      <c r="G25" s="3">
        <v>1.44</v>
      </c>
      <c r="H25" s="3">
        <v>-1.879</v>
      </c>
      <c r="I25" s="3">
        <v>0.99199999999999999</v>
      </c>
      <c r="J25" s="3">
        <v>13.031000000000001</v>
      </c>
      <c r="K25" s="3">
        <v>8.51</v>
      </c>
      <c r="L25" s="3">
        <v>6.9989999999999997</v>
      </c>
      <c r="M25" s="3">
        <v>9.2409999999999997</v>
      </c>
      <c r="N25" s="3">
        <v>4.2060000000000004</v>
      </c>
      <c r="O25" s="2">
        <v>6.8449999999999998</v>
      </c>
      <c r="P25" s="2">
        <v>12.093</v>
      </c>
      <c r="Q25" s="2">
        <v>5.8490000000000002</v>
      </c>
      <c r="R25" s="2">
        <f>28.062-Q25-P25-O25</f>
        <v>3.2750000000000012</v>
      </c>
      <c r="S25" s="2">
        <v>6.9320000000000004</v>
      </c>
      <c r="T25" s="2">
        <v>5.202</v>
      </c>
      <c r="U25" s="2">
        <v>8.3320000000000007</v>
      </c>
      <c r="V25" s="2">
        <v>-2</v>
      </c>
      <c r="W25" s="2">
        <v>6</v>
      </c>
      <c r="X25" s="2">
        <v>6</v>
      </c>
      <c r="Y25" s="2">
        <v>6</v>
      </c>
      <c r="Z25" s="2">
        <v>6</v>
      </c>
      <c r="AF25" s="2">
        <v>0.39300000000000002</v>
      </c>
      <c r="AG25" s="2">
        <v>18.654</v>
      </c>
      <c r="AH25" s="2">
        <f>SUM(G25:J25)</f>
        <v>13.584</v>
      </c>
      <c r="AI25" s="2">
        <f t="shared" si="41"/>
        <v>28.956</v>
      </c>
      <c r="AJ25" s="12">
        <f>SUM(O25:R25)</f>
        <v>28.062000000000001</v>
      </c>
      <c r="AK25" s="12">
        <f>SUM(S25:V25)</f>
        <v>18.466000000000001</v>
      </c>
      <c r="AL25" s="12">
        <f>SUM(W25:Z25)</f>
        <v>24</v>
      </c>
      <c r="AM25" s="2">
        <v>0</v>
      </c>
      <c r="AN25" s="2">
        <f>AN24*0.16</f>
        <v>133.40191482292906</v>
      </c>
      <c r="AO25" s="2">
        <f>AO24*0.16</f>
        <v>194.24331015906003</v>
      </c>
      <c r="AP25" s="2">
        <f>AP24*0.16</f>
        <v>265.24592742242243</v>
      </c>
      <c r="AQ25" s="2">
        <f>AQ24*0.16</f>
        <v>349.33330219078914</v>
      </c>
    </row>
    <row r="26" spans="2:109 16384:16384" s="2" customFormat="1" x14ac:dyDescent="0.2">
      <c r="B26" s="2" t="s">
        <v>30</v>
      </c>
      <c r="C26" s="3"/>
      <c r="D26" s="3"/>
      <c r="E26" s="3">
        <f t="shared" ref="E26" si="50">+E24-E25</f>
        <v>-194.18400000000003</v>
      </c>
      <c r="F26" s="3">
        <f t="shared" ref="F26:G26" si="51">+F24-F25</f>
        <v>-142.57</v>
      </c>
      <c r="G26" s="3">
        <f t="shared" si="51"/>
        <v>-308.94</v>
      </c>
      <c r="H26" s="3">
        <f>+H24-H25</f>
        <v>-193.94599999999994</v>
      </c>
      <c r="I26" s="3">
        <f t="shared" ref="I26" si="52">+I24-I25</f>
        <v>-184.58999999999995</v>
      </c>
      <c r="J26" s="3">
        <f t="shared" ref="J26" si="53">+J24-J25</f>
        <v>-40.654000000000067</v>
      </c>
      <c r="K26" s="3">
        <f t="shared" ref="K26:Z26" si="54">+K24-K25</f>
        <v>-282.08699999999982</v>
      </c>
      <c r="L26" s="3">
        <f t="shared" si="54"/>
        <v>-405.15699999999987</v>
      </c>
      <c r="M26" s="3">
        <f t="shared" si="54"/>
        <v>-431.46299999999997</v>
      </c>
      <c r="N26" s="3">
        <f t="shared" si="54"/>
        <v>-268.15199999999987</v>
      </c>
      <c r="O26" s="3">
        <f t="shared" si="54"/>
        <v>-340.02600000000018</v>
      </c>
      <c r="P26" s="3">
        <f t="shared" si="54"/>
        <v>-378.63099999999997</v>
      </c>
      <c r="Q26" s="3">
        <f t="shared" si="54"/>
        <v>-347.49399999999997</v>
      </c>
      <c r="R26" s="3">
        <f t="shared" si="54"/>
        <v>-213.91999999999996</v>
      </c>
      <c r="S26" s="3">
        <f t="shared" si="54"/>
        <v>-305.0089999999999</v>
      </c>
      <c r="T26" s="3">
        <f t="shared" si="54"/>
        <v>-227.85800000000012</v>
      </c>
      <c r="U26" s="3">
        <f t="shared" si="54"/>
        <v>-148.89200000000002</v>
      </c>
      <c r="V26" s="3">
        <f t="shared" si="54"/>
        <v>9.419404941705011</v>
      </c>
      <c r="W26" s="3">
        <f t="shared" si="54"/>
        <v>-63.905583838200641</v>
      </c>
      <c r="X26" s="3">
        <f t="shared" si="54"/>
        <v>-11.631838347351163</v>
      </c>
      <c r="Y26" s="3">
        <f t="shared" si="54"/>
        <v>97.817242961015609</v>
      </c>
      <c r="Z26" s="3">
        <f t="shared" si="54"/>
        <v>229.84577744403123</v>
      </c>
      <c r="AA26" s="3"/>
      <c r="AF26" s="2">
        <f t="shared" ref="AF26" si="55">+AF24-AF25</f>
        <v>-1092.6729999999998</v>
      </c>
      <c r="AG26" s="2">
        <f t="shared" ref="AG26:AQ26" si="56">+AG24-AG25</f>
        <v>-959.82700000000011</v>
      </c>
      <c r="AH26" s="2">
        <f t="shared" si="56"/>
        <v>-728.12999999999988</v>
      </c>
      <c r="AI26" s="2">
        <f t="shared" si="56"/>
        <v>-1386.8589999999992</v>
      </c>
      <c r="AJ26" s="2">
        <f t="shared" si="56"/>
        <v>-1280.0710000000008</v>
      </c>
      <c r="AK26" s="2">
        <f t="shared" si="56"/>
        <v>-672.33959505829546</v>
      </c>
      <c r="AL26" s="2">
        <f t="shared" si="56"/>
        <v>252.1255982194948</v>
      </c>
      <c r="AM26" s="2">
        <f t="shared" si="56"/>
        <v>516.07037471203694</v>
      </c>
      <c r="AN26" s="2">
        <f t="shared" si="56"/>
        <v>700.36005282037752</v>
      </c>
      <c r="AO26" s="2">
        <f t="shared" si="56"/>
        <v>1019.7773783350651</v>
      </c>
      <c r="AP26" s="2">
        <f t="shared" si="56"/>
        <v>1392.5411189677177</v>
      </c>
      <c r="AQ26" s="2">
        <f t="shared" si="56"/>
        <v>1833.9998365016427</v>
      </c>
      <c r="AR26" s="2">
        <f>AQ26*(1+$AU$34)</f>
        <v>1797.3198397716098</v>
      </c>
      <c r="AS26" s="2">
        <f t="shared" ref="AS26:DD26" si="57">AR26*(1+$AU$34)</f>
        <v>1761.3734429761776</v>
      </c>
      <c r="AT26" s="2">
        <f t="shared" si="57"/>
        <v>1726.1459741166541</v>
      </c>
      <c r="AU26" s="2">
        <f t="shared" si="57"/>
        <v>1691.6230546343211</v>
      </c>
      <c r="AV26" s="2">
        <f t="shared" si="57"/>
        <v>1657.7905935416347</v>
      </c>
      <c r="AW26" s="2">
        <f t="shared" si="57"/>
        <v>1624.6347816708021</v>
      </c>
      <c r="AX26" s="2">
        <f t="shared" si="57"/>
        <v>1592.142086037386</v>
      </c>
      <c r="AY26" s="2">
        <f t="shared" si="57"/>
        <v>1560.2992443166381</v>
      </c>
      <c r="AZ26" s="2">
        <f t="shared" si="57"/>
        <v>1529.0932594303054</v>
      </c>
      <c r="BA26" s="2">
        <f t="shared" si="57"/>
        <v>1498.5113942416992</v>
      </c>
      <c r="BB26" s="2">
        <f t="shared" si="57"/>
        <v>1468.5411663568652</v>
      </c>
      <c r="BC26" s="2">
        <f t="shared" si="57"/>
        <v>1439.170343029728</v>
      </c>
      <c r="BD26" s="2">
        <f t="shared" si="57"/>
        <v>1410.3869361691334</v>
      </c>
      <c r="BE26" s="2">
        <f t="shared" si="57"/>
        <v>1382.1791974457508</v>
      </c>
      <c r="BF26" s="2">
        <f t="shared" si="57"/>
        <v>1354.5356134968358</v>
      </c>
      <c r="BG26" s="2">
        <f t="shared" si="57"/>
        <v>1327.444901226899</v>
      </c>
      <c r="BH26" s="2">
        <f t="shared" si="57"/>
        <v>1300.896003202361</v>
      </c>
      <c r="BI26" s="2">
        <f t="shared" si="57"/>
        <v>1274.8780831383137</v>
      </c>
      <c r="BJ26" s="2">
        <f t="shared" si="57"/>
        <v>1249.3805214755475</v>
      </c>
      <c r="BK26" s="2">
        <f t="shared" si="57"/>
        <v>1224.3929110460365</v>
      </c>
      <c r="BL26" s="2">
        <f t="shared" si="57"/>
        <v>1199.9050528251157</v>
      </c>
      <c r="BM26" s="2">
        <f t="shared" si="57"/>
        <v>1175.9069517686135</v>
      </c>
      <c r="BN26" s="2">
        <f t="shared" si="57"/>
        <v>1152.3888127332411</v>
      </c>
      <c r="BO26" s="2">
        <f t="shared" si="57"/>
        <v>1129.3410364785764</v>
      </c>
      <c r="BP26" s="2">
        <f t="shared" si="57"/>
        <v>1106.7542157490047</v>
      </c>
      <c r="BQ26" s="2">
        <f t="shared" si="57"/>
        <v>1084.6191314340247</v>
      </c>
      <c r="BR26" s="2">
        <f t="shared" si="57"/>
        <v>1062.9267488053442</v>
      </c>
      <c r="BS26" s="2">
        <f t="shared" si="57"/>
        <v>1041.6682138292374</v>
      </c>
      <c r="BT26" s="2">
        <f t="shared" si="57"/>
        <v>1020.8348495526526</v>
      </c>
      <c r="BU26" s="2">
        <f t="shared" si="57"/>
        <v>1000.4181525615995</v>
      </c>
      <c r="BV26" s="2">
        <f t="shared" si="57"/>
        <v>980.40978951036755</v>
      </c>
      <c r="BW26" s="2">
        <f t="shared" si="57"/>
        <v>960.80159372016021</v>
      </c>
      <c r="BX26" s="2">
        <f t="shared" si="57"/>
        <v>941.58556184575696</v>
      </c>
      <c r="BY26" s="2">
        <f t="shared" si="57"/>
        <v>922.75385060884184</v>
      </c>
      <c r="BZ26" s="2">
        <f t="shared" si="57"/>
        <v>904.298773596665</v>
      </c>
      <c r="CA26" s="2">
        <f t="shared" si="57"/>
        <v>886.21279812473165</v>
      </c>
      <c r="CB26" s="2">
        <f t="shared" si="57"/>
        <v>868.48854216223697</v>
      </c>
      <c r="CC26" s="2">
        <f t="shared" si="57"/>
        <v>851.11877131899223</v>
      </c>
      <c r="CD26" s="2">
        <f t="shared" si="57"/>
        <v>834.09639589261235</v>
      </c>
      <c r="CE26" s="2">
        <f t="shared" si="57"/>
        <v>817.4144679747601</v>
      </c>
      <c r="CF26" s="2">
        <f t="shared" si="57"/>
        <v>801.0661786152649</v>
      </c>
      <c r="CG26" s="2">
        <f t="shared" si="57"/>
        <v>785.04485504295963</v>
      </c>
      <c r="CH26" s="2">
        <f t="shared" si="57"/>
        <v>769.34395794210047</v>
      </c>
      <c r="CI26" s="2">
        <f t="shared" si="57"/>
        <v>753.95707878325845</v>
      </c>
      <c r="CJ26" s="2">
        <f t="shared" si="57"/>
        <v>738.87793720759328</v>
      </c>
      <c r="CK26" s="2">
        <f t="shared" si="57"/>
        <v>724.10037846344142</v>
      </c>
      <c r="CL26" s="2">
        <f t="shared" si="57"/>
        <v>709.61837089417259</v>
      </c>
      <c r="CM26" s="2">
        <f t="shared" si="57"/>
        <v>695.42600347628911</v>
      </c>
      <c r="CN26" s="2">
        <f t="shared" si="57"/>
        <v>681.51748340676329</v>
      </c>
      <c r="CO26" s="2">
        <f t="shared" si="57"/>
        <v>667.88713373862799</v>
      </c>
      <c r="CP26" s="2">
        <f t="shared" si="57"/>
        <v>654.52939106385543</v>
      </c>
      <c r="CQ26" s="2">
        <f t="shared" si="57"/>
        <v>641.43880324257827</v>
      </c>
      <c r="CR26" s="2">
        <f t="shared" si="57"/>
        <v>628.61002717772669</v>
      </c>
      <c r="CS26" s="2">
        <f t="shared" si="57"/>
        <v>616.03782663417212</v>
      </c>
      <c r="CT26" s="2">
        <f t="shared" si="57"/>
        <v>603.71707010148862</v>
      </c>
      <c r="CU26" s="2">
        <f t="shared" si="57"/>
        <v>591.64272869945887</v>
      </c>
      <c r="CV26" s="2">
        <f t="shared" si="57"/>
        <v>579.80987412546972</v>
      </c>
      <c r="CW26" s="2">
        <f t="shared" si="57"/>
        <v>568.21367664296031</v>
      </c>
      <c r="CX26" s="2">
        <f t="shared" si="57"/>
        <v>556.84940311010109</v>
      </c>
      <c r="CY26" s="2">
        <f t="shared" si="57"/>
        <v>545.71241504789907</v>
      </c>
      <c r="CZ26" s="2">
        <f t="shared" si="57"/>
        <v>534.79816674694109</v>
      </c>
      <c r="DA26" s="2">
        <f t="shared" si="57"/>
        <v>524.10220341200227</v>
      </c>
      <c r="DB26" s="2">
        <f t="shared" si="57"/>
        <v>513.62015934376223</v>
      </c>
      <c r="DC26" s="2">
        <f t="shared" si="57"/>
        <v>503.34775615688699</v>
      </c>
      <c r="DD26" s="2">
        <f t="shared" si="57"/>
        <v>493.28080103374924</v>
      </c>
      <c r="DE26" s="2">
        <f t="shared" ref="DE26" si="58">DD26*(1+$AU$34)</f>
        <v>483.41518501307422</v>
      </c>
    </row>
    <row r="27" spans="2:109 16384:16384" x14ac:dyDescent="0.2">
      <c r="B27" s="2" t="s">
        <v>31</v>
      </c>
      <c r="E27" s="4">
        <f t="shared" ref="E27" si="59">+E26/E28</f>
        <v>-0.1324204525306529</v>
      </c>
      <c r="F27" s="4">
        <f t="shared" ref="F27:G27" si="60">+F26/F28</f>
        <v>-9.6053499447879331E-2</v>
      </c>
      <c r="G27" s="4">
        <f t="shared" si="60"/>
        <v>-0.20573561102690666</v>
      </c>
      <c r="H27" s="4">
        <f>+H26/H28</f>
        <v>-0.12535014096122496</v>
      </c>
      <c r="I27" s="4">
        <f t="shared" ref="I27" si="61">+I26/I28</f>
        <v>-0.11675772913522489</v>
      </c>
      <c r="J27" s="4">
        <f t="shared" ref="J27" si="62">+J26/J28</f>
        <v>-2.4360064450448516E-2</v>
      </c>
      <c r="K27" s="4">
        <f t="shared" ref="K27" si="63">+K26/K28</f>
        <v>-0.1742231703407976</v>
      </c>
      <c r="L27" s="4">
        <f t="shared" ref="L27:R27" si="64">+L26/L28</f>
        <v>-0.24823667087382201</v>
      </c>
      <c r="M27" s="4">
        <f t="shared" si="64"/>
        <v>-0.26823551792545086</v>
      </c>
      <c r="N27" s="4">
        <f t="shared" si="64"/>
        <v>-0.17037606988575382</v>
      </c>
      <c r="O27" s="4">
        <f t="shared" si="64"/>
        <v>-0.21501988781879017</v>
      </c>
      <c r="P27" s="4">
        <f t="shared" si="64"/>
        <v>-0.23617615577118362</v>
      </c>
      <c r="Q27" s="4">
        <f t="shared" si="64"/>
        <v>-0.21372185665073923</v>
      </c>
      <c r="R27" s="4">
        <f t="shared" si="64"/>
        <v>-0.13266323680437381</v>
      </c>
      <c r="S27" s="4">
        <f t="shared" ref="S27:Z27" si="65">+S26/S28</f>
        <v>-0.18514714514561539</v>
      </c>
      <c r="T27" s="4">
        <f t="shared" si="65"/>
        <v>-0.13853773493132035</v>
      </c>
      <c r="U27" s="4">
        <f t="shared" si="65"/>
        <v>-8.9531578564423217E-2</v>
      </c>
      <c r="V27" s="4">
        <f t="shared" si="65"/>
        <v>5.6640665285467209E-3</v>
      </c>
      <c r="W27" s="4">
        <f t="shared" si="65"/>
        <v>-3.8427637482975542E-2</v>
      </c>
      <c r="X27" s="4">
        <f t="shared" si="65"/>
        <v>-6.9944446232473286E-3</v>
      </c>
      <c r="Y27" s="4">
        <f t="shared" si="65"/>
        <v>5.8819360161186912E-2</v>
      </c>
      <c r="Z27" s="4">
        <f t="shared" si="65"/>
        <v>0.13821061763513964</v>
      </c>
      <c r="AA27" s="4"/>
      <c r="AF27" s="6">
        <f t="shared" ref="AF27" si="66">+AF26/AF28</f>
        <v>-0.79440435286471001</v>
      </c>
      <c r="AG27" s="6">
        <f t="shared" ref="AG27:AQ27" si="67">+AG26/AG28</f>
        <v>-0.65936086798521398</v>
      </c>
      <c r="AH27" s="6">
        <f t="shared" si="67"/>
        <v>-0.46705028938477744</v>
      </c>
      <c r="AI27" s="6">
        <f t="shared" si="67"/>
        <v>-0.86225210257491069</v>
      </c>
      <c r="AJ27" s="6">
        <f t="shared" si="67"/>
        <v>-0.79384051140338308</v>
      </c>
      <c r="AK27" s="6">
        <f t="shared" si="67"/>
        <v>-0.40429052787882669</v>
      </c>
      <c r="AL27" s="6">
        <f t="shared" si="67"/>
        <v>0.15160789569010355</v>
      </c>
      <c r="AM27" s="6">
        <f t="shared" si="67"/>
        <v>0.31032288704767252</v>
      </c>
      <c r="AN27" s="6">
        <f t="shared" si="67"/>
        <v>0.42113975964102313</v>
      </c>
      <c r="AO27" s="6">
        <f t="shared" si="67"/>
        <v>0.613211444984468</v>
      </c>
      <c r="AP27" s="6">
        <f t="shared" si="67"/>
        <v>0.83736133974322347</v>
      </c>
      <c r="AQ27" s="6">
        <f t="shared" si="67"/>
        <v>1.102818824711107</v>
      </c>
    </row>
    <row r="28" spans="2:109 16384:16384" s="2" customFormat="1" x14ac:dyDescent="0.2">
      <c r="B28" s="2" t="s">
        <v>1</v>
      </c>
      <c r="C28" s="3"/>
      <c r="D28" s="3"/>
      <c r="E28" s="3">
        <v>1466.42</v>
      </c>
      <c r="F28" s="3">
        <v>1484.277</v>
      </c>
      <c r="G28" s="3">
        <v>1501.636</v>
      </c>
      <c r="H28" s="3">
        <v>1547.2339999999999</v>
      </c>
      <c r="I28" s="3">
        <v>1580.9659999999999</v>
      </c>
      <c r="J28" s="3">
        <v>1668.8789999999999</v>
      </c>
      <c r="K28" s="3">
        <v>1619.1130000000001</v>
      </c>
      <c r="L28" s="3">
        <v>1632.14</v>
      </c>
      <c r="M28" s="3">
        <v>1608.5229999999999</v>
      </c>
      <c r="N28" s="3">
        <v>1573.883</v>
      </c>
      <c r="O28" s="3">
        <f>1581.37</f>
        <v>1581.37</v>
      </c>
      <c r="P28" s="3">
        <v>1603.172</v>
      </c>
      <c r="Q28" s="3">
        <v>1625.9169999999999</v>
      </c>
      <c r="R28" s="3">
        <v>1612.5039999999999</v>
      </c>
      <c r="S28" s="3">
        <v>1647.3869999999999</v>
      </c>
      <c r="T28" s="3">
        <v>1644.7360000000001</v>
      </c>
      <c r="U28" s="3">
        <v>1663.011</v>
      </c>
      <c r="V28" s="3">
        <v>1663.011</v>
      </c>
      <c r="W28" s="3">
        <v>1663.011</v>
      </c>
      <c r="X28" s="3">
        <v>1663.011</v>
      </c>
      <c r="Y28" s="3">
        <v>1663.011</v>
      </c>
      <c r="Z28" s="3">
        <v>1663.011</v>
      </c>
      <c r="AA28" s="3"/>
      <c r="AF28" s="2">
        <v>1375.462</v>
      </c>
      <c r="AG28" s="2">
        <v>1455.693</v>
      </c>
      <c r="AH28" s="2">
        <v>1558.9970000000001</v>
      </c>
      <c r="AI28" s="2">
        <f>AVERAGE(K28:N28)</f>
        <v>1608.4147499999999</v>
      </c>
      <c r="AJ28" s="3">
        <v>1612.5039999999999</v>
      </c>
      <c r="AK28" s="3">
        <v>1663.011</v>
      </c>
      <c r="AL28" s="3">
        <v>1663.011</v>
      </c>
      <c r="AM28" s="3">
        <v>1663.011</v>
      </c>
      <c r="AN28" s="3">
        <v>1663.011</v>
      </c>
      <c r="AO28" s="3">
        <v>1663.011</v>
      </c>
      <c r="AP28" s="3">
        <v>1663.011</v>
      </c>
      <c r="AQ28" s="3">
        <v>1663.011</v>
      </c>
      <c r="AR28" s="3">
        <v>1663.011</v>
      </c>
      <c r="AS28" s="3">
        <v>1663.011</v>
      </c>
      <c r="AT28" s="3">
        <v>1663.011</v>
      </c>
      <c r="AU28" s="3">
        <v>1663.011</v>
      </c>
      <c r="AV28" s="3">
        <v>1663.011</v>
      </c>
      <c r="AW28" s="3">
        <v>1663.011</v>
      </c>
      <c r="AX28" s="3">
        <v>1663.011</v>
      </c>
      <c r="AY28" s="3">
        <v>1663.011</v>
      </c>
      <c r="AZ28" s="3">
        <v>1663.011</v>
      </c>
      <c r="BA28" s="3">
        <v>1663.011</v>
      </c>
      <c r="BB28" s="3">
        <v>1663.011</v>
      </c>
      <c r="BC28" s="3">
        <v>1663.011</v>
      </c>
      <c r="BD28" s="3">
        <v>1663.011</v>
      </c>
      <c r="BE28" s="3">
        <v>1663.011</v>
      </c>
      <c r="BF28" s="3">
        <v>1663.011</v>
      </c>
      <c r="BG28" s="3">
        <v>1663.011</v>
      </c>
      <c r="BH28" s="3">
        <v>1663.011</v>
      </c>
      <c r="BI28" s="3">
        <v>1663.011</v>
      </c>
      <c r="BJ28" s="3">
        <v>1663.011</v>
      </c>
      <c r="BK28" s="3">
        <v>1663.011</v>
      </c>
    </row>
    <row r="29" spans="2:109 16384:16384" x14ac:dyDescent="0.2">
      <c r="O29"/>
    </row>
    <row r="30" spans="2:109 16384:16384" x14ac:dyDescent="0.2">
      <c r="B30" s="2" t="s">
        <v>32</v>
      </c>
      <c r="I30" s="5">
        <f t="shared" ref="I30:J30" si="68">+I15/E15-1</f>
        <v>0.57289131062610887</v>
      </c>
      <c r="J30" s="5">
        <f t="shared" si="68"/>
        <v>0.42417828166114724</v>
      </c>
      <c r="K30" s="5">
        <f t="shared" ref="K30:Z30" si="69">+K15/G15-1</f>
        <v>0.38091098567537807</v>
      </c>
      <c r="L30" s="5">
        <f t="shared" si="69"/>
        <v>0.13114749090731381</v>
      </c>
      <c r="M30" s="5">
        <f t="shared" si="69"/>
        <v>5.7149093511673854E-2</v>
      </c>
      <c r="N30" s="5">
        <f t="shared" si="69"/>
        <v>1.6295742689067527E-3</v>
      </c>
      <c r="O30" s="5">
        <f t="shared" si="69"/>
        <v>-6.9744158189262273E-2</v>
      </c>
      <c r="P30" s="5">
        <f t="shared" si="69"/>
        <v>-3.8923080108271724E-2</v>
      </c>
      <c r="Q30" s="5">
        <f t="shared" si="69"/>
        <v>5.3235514091571012E-2</v>
      </c>
      <c r="R30" s="5">
        <f t="shared" si="69"/>
        <v>4.7143846153846258E-2</v>
      </c>
      <c r="S30" s="5">
        <f t="shared" si="69"/>
        <v>0.20854069560432476</v>
      </c>
      <c r="T30" s="5">
        <f t="shared" si="69"/>
        <v>0.1583533848037173</v>
      </c>
      <c r="U30" s="5">
        <f t="shared" si="69"/>
        <v>0.15482970440477528</v>
      </c>
      <c r="V30" s="5">
        <f t="shared" si="69"/>
        <v>0.14167279659443244</v>
      </c>
      <c r="W30" s="5">
        <f t="shared" si="69"/>
        <v>0.15108032124748139</v>
      </c>
      <c r="X30" s="5">
        <f t="shared" si="69"/>
        <v>0.14543246896072026</v>
      </c>
      <c r="Y30" s="5">
        <f t="shared" si="69"/>
        <v>0.14200638832086265</v>
      </c>
      <c r="Z30" s="5">
        <f t="shared" si="69"/>
        <v>0.13527299611571464</v>
      </c>
      <c r="AA30" s="5"/>
      <c r="AD30" s="9">
        <f t="shared" ref="AD30:AF30" si="70">+AD15/AC15-1</f>
        <v>1.0395196819635975</v>
      </c>
      <c r="AE30" s="9">
        <f t="shared" si="70"/>
        <v>0.43093209398399179</v>
      </c>
      <c r="AF30" s="9">
        <f t="shared" si="70"/>
        <v>0.45329307736228519</v>
      </c>
      <c r="AG30" s="9">
        <f t="shared" ref="AG30:AK30" si="71">+AG15/AF15-1</f>
        <v>0.4611345505247928</v>
      </c>
      <c r="AH30" s="9">
        <f t="shared" si="71"/>
        <v>0.64246600809215226</v>
      </c>
      <c r="AI30" s="9">
        <f t="shared" si="71"/>
        <v>0.11781839803665184</v>
      </c>
      <c r="AJ30" s="9">
        <f t="shared" si="71"/>
        <v>8.6981803137309299E-4</v>
      </c>
      <c r="AK30" s="9">
        <f t="shared" si="71"/>
        <v>0.16328605261867013</v>
      </c>
      <c r="AL30" s="9">
        <f>+AL15/AK15-1</f>
        <v>0.14286745464220485</v>
      </c>
      <c r="AM30" s="9">
        <v>0.14286745464220485</v>
      </c>
      <c r="AN30" s="9">
        <v>0.14286745464220485</v>
      </c>
      <c r="AO30" s="9">
        <v>0.14286745464220485</v>
      </c>
      <c r="AP30" s="9">
        <v>0.14286745464220485</v>
      </c>
      <c r="AQ30" s="9">
        <v>0.14286745464220485</v>
      </c>
      <c r="XFD30" s="9"/>
    </row>
    <row r="31" spans="2:109 16384:16384" x14ac:dyDescent="0.2">
      <c r="B31" s="2" t="s">
        <v>90</v>
      </c>
      <c r="H31" s="5">
        <f t="shared" ref="H31:Z31" si="72">H6/D6-1</f>
        <v>0.55844155844155852</v>
      </c>
      <c r="I31" s="5">
        <f t="shared" si="72"/>
        <v>0.49425287356321834</v>
      </c>
      <c r="J31" s="5">
        <f t="shared" si="72"/>
        <v>0.41414141414141414</v>
      </c>
      <c r="K31" s="5">
        <f t="shared" si="72"/>
        <v>0.35135135135135132</v>
      </c>
      <c r="L31" s="5">
        <f t="shared" si="72"/>
        <v>0.35000000000000009</v>
      </c>
      <c r="M31" s="5">
        <f t="shared" si="72"/>
        <v>0.34615384615384626</v>
      </c>
      <c r="N31" s="5">
        <f t="shared" si="72"/>
        <v>0.30714285714285716</v>
      </c>
      <c r="O31" s="5">
        <f t="shared" si="72"/>
        <v>0.26666666666666661</v>
      </c>
      <c r="P31" s="5">
        <f t="shared" si="72"/>
        <v>0.24691358024691357</v>
      </c>
      <c r="Q31" s="5">
        <f t="shared" si="72"/>
        <v>0.20571428571428574</v>
      </c>
      <c r="R31" s="5">
        <f t="shared" si="72"/>
        <v>0.19125683060109289</v>
      </c>
      <c r="S31" s="5">
        <f t="shared" si="72"/>
        <v>0.18947368421052624</v>
      </c>
      <c r="T31" s="5">
        <f t="shared" si="72"/>
        <v>0.16336633663366329</v>
      </c>
      <c r="U31" s="5">
        <f t="shared" si="72"/>
        <v>0.15639810426540279</v>
      </c>
      <c r="V31" s="5">
        <f t="shared" si="72"/>
        <v>0.15137614678899092</v>
      </c>
      <c r="W31" s="5">
        <f t="shared" si="72"/>
        <v>0.15044247787610621</v>
      </c>
      <c r="X31" s="5">
        <f t="shared" si="72"/>
        <v>0.13191489361702136</v>
      </c>
      <c r="Y31" s="5">
        <f t="shared" si="72"/>
        <v>0.11885245901639352</v>
      </c>
      <c r="Z31" s="5">
        <f t="shared" si="72"/>
        <v>0.10358565737051784</v>
      </c>
      <c r="AA31" s="5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XFD31" s="9"/>
    </row>
    <row r="32" spans="2:109 16384:16384" x14ac:dyDescent="0.2">
      <c r="B32" s="2" t="s">
        <v>41</v>
      </c>
      <c r="H32" s="5">
        <f t="shared" ref="H32:Z32" si="73">+H3/D3-1</f>
        <v>0.23109243697478998</v>
      </c>
      <c r="I32" s="5">
        <f t="shared" si="73"/>
        <v>0.22891566265060237</v>
      </c>
      <c r="J32" s="5">
        <f t="shared" si="73"/>
        <v>0.20377358490566033</v>
      </c>
      <c r="K32" s="5">
        <f t="shared" si="73"/>
        <v>0.18571428571428572</v>
      </c>
      <c r="L32" s="5">
        <f t="shared" si="73"/>
        <v>0.1843003412969284</v>
      </c>
      <c r="M32" s="5">
        <f t="shared" si="73"/>
        <v>0.18627450980392157</v>
      </c>
      <c r="N32" s="5">
        <f t="shared" si="73"/>
        <v>0.17554858934169282</v>
      </c>
      <c r="O32" s="5">
        <f t="shared" si="73"/>
        <v>0.15361445783132521</v>
      </c>
      <c r="P32" s="5">
        <f t="shared" si="73"/>
        <v>0.144092219020173</v>
      </c>
      <c r="Q32" s="5">
        <f t="shared" si="73"/>
        <v>0.1212121212121211</v>
      </c>
      <c r="R32" s="5">
        <f t="shared" si="73"/>
        <v>0.10400000000000009</v>
      </c>
      <c r="S32" s="5">
        <f t="shared" si="73"/>
        <v>0.10182767624020883</v>
      </c>
      <c r="T32" s="5">
        <f t="shared" si="73"/>
        <v>8.8161209068010171E-2</v>
      </c>
      <c r="U32" s="5">
        <f t="shared" si="73"/>
        <v>8.8452088452088518E-2</v>
      </c>
      <c r="V32" s="5">
        <f t="shared" si="73"/>
        <v>8.9371980676328455E-2</v>
      </c>
      <c r="W32" s="5">
        <f t="shared" si="73"/>
        <v>9.004739336492884E-2</v>
      </c>
      <c r="X32" s="5">
        <f t="shared" si="73"/>
        <v>8.1018518518518601E-2</v>
      </c>
      <c r="Y32" s="5">
        <f t="shared" si="73"/>
        <v>7.2234762979684008E-2</v>
      </c>
      <c r="Z32" s="5">
        <f t="shared" si="73"/>
        <v>6.4301552106430071E-2</v>
      </c>
      <c r="AA32" s="5"/>
    </row>
    <row r="33" spans="2:47" x14ac:dyDescent="0.2">
      <c r="B33" s="2" t="s">
        <v>21</v>
      </c>
      <c r="F33" s="5">
        <f>+F17/F15</f>
        <v>0.57693767954685615</v>
      </c>
      <c r="G33" s="5">
        <f>+G17/G15</f>
        <v>0.4638648932410237</v>
      </c>
      <c r="H33" s="5">
        <f>+H17/H15</f>
        <v>0.54687162715302184</v>
      </c>
      <c r="I33" s="5">
        <f t="shared" ref="I33:J33" si="74">+I17/I15</f>
        <v>0.58455733223666029</v>
      </c>
      <c r="J33" s="5">
        <f t="shared" si="74"/>
        <v>0.65393621160580473</v>
      </c>
      <c r="K33" s="5">
        <f t="shared" ref="K33:Z33" si="75">+K17/K15</f>
        <v>0.60394626277491781</v>
      </c>
      <c r="L33" s="5">
        <f t="shared" si="75"/>
        <v>0.5981876103263184</v>
      </c>
      <c r="M33" s="5">
        <f t="shared" si="75"/>
        <v>0.58638287389364063</v>
      </c>
      <c r="N33" s="5">
        <f t="shared" si="75"/>
        <v>0.62976076923076929</v>
      </c>
      <c r="O33" s="5">
        <f t="shared" si="75"/>
        <v>0.55494392114973778</v>
      </c>
      <c r="P33" s="5">
        <f t="shared" si="75"/>
        <v>0.5346179387057225</v>
      </c>
      <c r="Q33" s="5">
        <f t="shared" si="75"/>
        <v>0.53241131428100263</v>
      </c>
      <c r="R33" s="5">
        <f t="shared" si="75"/>
        <v>0.54344381456665647</v>
      </c>
      <c r="S33" s="5">
        <f t="shared" si="75"/>
        <v>0.51894711380320779</v>
      </c>
      <c r="T33" s="5">
        <f t="shared" si="75"/>
        <v>0.52381102545567448</v>
      </c>
      <c r="U33" s="5">
        <f t="shared" si="75"/>
        <v>0.53451908603834841</v>
      </c>
      <c r="V33" s="5">
        <f t="shared" si="75"/>
        <v>0.55000000000000004</v>
      </c>
      <c r="W33" s="5">
        <f t="shared" si="75"/>
        <v>0.55000000000000004</v>
      </c>
      <c r="X33" s="5">
        <f t="shared" si="75"/>
        <v>0.55000000000000004</v>
      </c>
      <c r="Y33" s="5">
        <f t="shared" si="75"/>
        <v>0.54999999999999993</v>
      </c>
      <c r="Z33" s="5">
        <f t="shared" si="75"/>
        <v>0.54999999999999993</v>
      </c>
      <c r="AA33" s="5"/>
      <c r="AT33" t="s">
        <v>86</v>
      </c>
      <c r="AU33" s="9">
        <v>0.09</v>
      </c>
    </row>
    <row r="34" spans="2:47" x14ac:dyDescent="0.2">
      <c r="O34"/>
      <c r="AT34" t="s">
        <v>85</v>
      </c>
      <c r="AU34" s="9">
        <v>-0.02</v>
      </c>
    </row>
    <row r="35" spans="2:47" x14ac:dyDescent="0.2">
      <c r="B35" s="2" t="s">
        <v>59</v>
      </c>
      <c r="O35" s="2">
        <f t="shared" ref="O35:U35" si="76">O36-O48</f>
        <v>359.19499999999971</v>
      </c>
      <c r="P35" s="2">
        <f t="shared" si="76"/>
        <v>-56.678000000000338</v>
      </c>
      <c r="Q35" s="2">
        <f t="shared" si="76"/>
        <v>-134.17900000000009</v>
      </c>
      <c r="R35" s="2">
        <f t="shared" si="76"/>
        <v>-205.32000000000016</v>
      </c>
      <c r="S35" s="2">
        <f t="shared" si="76"/>
        <v>-390.45099999999957</v>
      </c>
      <c r="T35" s="2">
        <f t="shared" si="76"/>
        <v>-557.45900000000029</v>
      </c>
      <c r="U35" s="2">
        <f t="shared" si="76"/>
        <v>-449.19900000000007</v>
      </c>
      <c r="V35" s="2"/>
      <c r="W35" s="2"/>
      <c r="X35" s="2"/>
      <c r="Y35" s="2"/>
      <c r="Z35" s="2"/>
      <c r="AA35" s="2"/>
      <c r="AT35" t="s">
        <v>84</v>
      </c>
      <c r="AU35" s="9">
        <v>0.01</v>
      </c>
    </row>
    <row r="36" spans="2:47" x14ac:dyDescent="0.2">
      <c r="B36" s="2" t="s">
        <v>3</v>
      </c>
      <c r="O36" s="2">
        <f>1578.528+2524.904</f>
        <v>4103.4319999999998</v>
      </c>
      <c r="P36" s="2">
        <f>1228.629+2460.649</f>
        <v>3689.2779999999998</v>
      </c>
      <c r="Q36" s="2">
        <f>1199.366+2414.132</f>
        <v>3613.498</v>
      </c>
      <c r="R36" s="2">
        <f>1780.4+1763.68</f>
        <v>3544.08</v>
      </c>
      <c r="S36" s="2">
        <f>1060.393+1850.622</f>
        <v>2911.0150000000003</v>
      </c>
      <c r="T36" s="2">
        <f>1060.551+2020.723</f>
        <v>3081.2739999999999</v>
      </c>
      <c r="U36" s="2">
        <f>964.967+2227.162</f>
        <v>3192.1289999999999</v>
      </c>
      <c r="V36" s="2">
        <v>3200</v>
      </c>
      <c r="W36" s="2"/>
      <c r="X36" s="2"/>
      <c r="Y36" s="2"/>
      <c r="Z36" s="2"/>
      <c r="AA36" s="2"/>
      <c r="AJ36" s="12">
        <f>SUM(O36:R36)</f>
        <v>14950.287999999999</v>
      </c>
      <c r="AK36" s="12">
        <f>SUM(S36:V36)</f>
        <v>12384.418000000001</v>
      </c>
      <c r="AL36" s="2">
        <f t="shared" ref="AL36:AQ36" si="77">AK36+AK26</f>
        <v>11712.078404941705</v>
      </c>
      <c r="AM36" s="2">
        <f t="shared" si="77"/>
        <v>11964.2040031612</v>
      </c>
      <c r="AN36" s="2">
        <f t="shared" si="77"/>
        <v>12480.274377873237</v>
      </c>
      <c r="AO36" s="2">
        <f t="shared" si="77"/>
        <v>13180.634430693613</v>
      </c>
      <c r="AP36" s="2">
        <f t="shared" si="77"/>
        <v>14200.411809028679</v>
      </c>
      <c r="AQ36" s="2">
        <f t="shared" si="77"/>
        <v>15592.952927996397</v>
      </c>
      <c r="AT36" t="s">
        <v>87</v>
      </c>
      <c r="AU36" s="13">
        <f>NPV(AU33,AL26:DE26)</f>
        <v>13661.40189956894</v>
      </c>
    </row>
    <row r="37" spans="2:47" x14ac:dyDescent="0.2">
      <c r="B37" s="2" t="s">
        <v>66</v>
      </c>
      <c r="O37" s="2">
        <v>892.51099999999997</v>
      </c>
      <c r="P37" s="2">
        <v>996.08199999999999</v>
      </c>
      <c r="Q37" s="2">
        <v>1116.511</v>
      </c>
      <c r="R37" s="2">
        <v>1278.1759999999999</v>
      </c>
      <c r="S37" s="2">
        <v>1108.357</v>
      </c>
      <c r="T37" s="2">
        <v>1141.8489999999999</v>
      </c>
      <c r="U37" s="2">
        <v>1195.701</v>
      </c>
      <c r="V37" s="2"/>
      <c r="W37" s="2"/>
      <c r="X37" s="2"/>
      <c r="Y37" s="2"/>
      <c r="Z37" s="2"/>
      <c r="AA37" s="2"/>
      <c r="AT37" t="s">
        <v>88</v>
      </c>
      <c r="AU37" s="13">
        <f>AU36/AN28</f>
        <v>8.2148596128161149</v>
      </c>
    </row>
    <row r="38" spans="2:47" x14ac:dyDescent="0.2">
      <c r="B38" s="2" t="s">
        <v>65</v>
      </c>
      <c r="O38" s="2">
        <v>146.97300000000001</v>
      </c>
      <c r="P38" s="2">
        <v>154.178</v>
      </c>
      <c r="Q38" s="2">
        <v>144.251</v>
      </c>
      <c r="R38" s="2">
        <v>153.58699999999999</v>
      </c>
      <c r="S38" s="2">
        <v>167.38499999999999</v>
      </c>
      <c r="T38" s="2">
        <v>198.07400000000001</v>
      </c>
      <c r="U38" s="2">
        <v>200.90199999999999</v>
      </c>
      <c r="V38" s="2"/>
      <c r="W38" s="2"/>
      <c r="X38" s="2"/>
      <c r="Y38" s="2"/>
      <c r="Z38" s="2"/>
      <c r="AA38" s="2"/>
      <c r="AT38" t="s">
        <v>89</v>
      </c>
      <c r="AU38" s="14">
        <f>AU37/Main!L2-1</f>
        <v>-0.28317106345409127</v>
      </c>
    </row>
    <row r="39" spans="2:47" x14ac:dyDescent="0.2">
      <c r="B39" t="s">
        <v>64</v>
      </c>
      <c r="O39" s="2">
        <v>303.02199999999999</v>
      </c>
      <c r="P39" s="2">
        <v>330.01</v>
      </c>
      <c r="Q39" s="2">
        <v>377.32</v>
      </c>
      <c r="R39" s="2">
        <v>410.32600000000002</v>
      </c>
      <c r="S39" s="2">
        <v>426.32299999999998</v>
      </c>
      <c r="T39" s="2">
        <v>444.48500000000001</v>
      </c>
      <c r="U39" s="2">
        <v>466.39699999999999</v>
      </c>
      <c r="V39" s="2"/>
      <c r="W39" s="2"/>
      <c r="X39" s="2"/>
      <c r="Y39" s="2"/>
      <c r="Z39" s="2"/>
      <c r="AA39" s="2"/>
    </row>
    <row r="40" spans="2:47" x14ac:dyDescent="0.2">
      <c r="B40" t="s">
        <v>63</v>
      </c>
      <c r="O40" s="2">
        <v>355.06200000000001</v>
      </c>
      <c r="P40" s="2">
        <v>348.97</v>
      </c>
      <c r="Q40" s="2">
        <v>344.68099999999998</v>
      </c>
      <c r="R40" s="2">
        <v>516.86199999999997</v>
      </c>
      <c r="S40" s="2">
        <v>511.11700000000002</v>
      </c>
      <c r="T40" s="2">
        <v>521.101</v>
      </c>
      <c r="U40" s="2">
        <v>516.95899999999995</v>
      </c>
      <c r="V40" s="2"/>
      <c r="W40" s="2"/>
      <c r="X40" s="2"/>
      <c r="Y40" s="2"/>
      <c r="Z40" s="2"/>
      <c r="AA40" s="2"/>
    </row>
    <row r="41" spans="2:47" x14ac:dyDescent="0.2">
      <c r="B41" t="s">
        <v>62</v>
      </c>
      <c r="O41" s="2">
        <f>186.724+1649.097</f>
        <v>1835.8209999999999</v>
      </c>
      <c r="P41" s="2">
        <f>202.671+1692.061</f>
        <v>1894.732</v>
      </c>
      <c r="Q41" s="2">
        <f>183.866+1691.542</f>
        <v>1875.4079999999999</v>
      </c>
      <c r="R41" s="2">
        <f>146.303+1691.827</f>
        <v>1838.13</v>
      </c>
      <c r="S41" s="2">
        <f>127.658+1691.524</f>
        <v>1819.1819999999998</v>
      </c>
      <c r="T41" s="2">
        <f>112.808+1691.317</f>
        <v>1804.125</v>
      </c>
      <c r="U41" s="2">
        <f>98.92+1693.946</f>
        <v>1792.866</v>
      </c>
      <c r="V41" s="2"/>
      <c r="W41" s="2"/>
      <c r="X41" s="2"/>
      <c r="Y41" s="2"/>
      <c r="Z41" s="2"/>
      <c r="AA41" s="2"/>
    </row>
    <row r="42" spans="2:47" x14ac:dyDescent="0.2">
      <c r="B42" t="s">
        <v>61</v>
      </c>
      <c r="O42" s="2">
        <v>251.56899999999999</v>
      </c>
      <c r="P42" s="2">
        <v>252.97300000000001</v>
      </c>
      <c r="Q42" s="2">
        <v>251.23599999999999</v>
      </c>
      <c r="R42" s="2">
        <v>226.59700000000001</v>
      </c>
      <c r="S42" s="2">
        <v>223.982</v>
      </c>
      <c r="T42" s="2">
        <v>229.131</v>
      </c>
      <c r="U42" s="2">
        <v>226.46299999999999</v>
      </c>
      <c r="V42" s="2"/>
      <c r="W42" s="2"/>
      <c r="X42" s="2"/>
      <c r="Y42" s="2"/>
      <c r="Z42" s="2"/>
      <c r="AA42" s="2"/>
    </row>
    <row r="43" spans="2:47" x14ac:dyDescent="0.2">
      <c r="B43" t="s">
        <v>60</v>
      </c>
      <c r="O43" s="2">
        <f t="shared" ref="O43:U43" si="78">SUM(O36:O42)</f>
        <v>7888.3899999999994</v>
      </c>
      <c r="P43" s="2">
        <f t="shared" si="78"/>
        <v>7666.223</v>
      </c>
      <c r="Q43" s="2">
        <f t="shared" si="78"/>
        <v>7722.9049999999997</v>
      </c>
      <c r="R43" s="2">
        <f t="shared" si="78"/>
        <v>7967.7579999999989</v>
      </c>
      <c r="S43" s="2">
        <f t="shared" si="78"/>
        <v>7167.3610000000008</v>
      </c>
      <c r="T43" s="2">
        <f t="shared" si="78"/>
        <v>7420.0389999999989</v>
      </c>
      <c r="U43" s="2">
        <f t="shared" si="78"/>
        <v>7591.4169999999995</v>
      </c>
      <c r="V43" s="2"/>
      <c r="W43" s="2"/>
      <c r="X43" s="2"/>
      <c r="Y43" s="2"/>
      <c r="Z43" s="2"/>
      <c r="AA43" s="2"/>
    </row>
    <row r="44" spans="2:47" x14ac:dyDescent="0.2">
      <c r="P44" s="2"/>
      <c r="Q44" s="2"/>
    </row>
    <row r="45" spans="2:47" x14ac:dyDescent="0.2">
      <c r="B45" t="s">
        <v>67</v>
      </c>
      <c r="O45" s="2">
        <v>141.80000000000001</v>
      </c>
      <c r="P45" s="2">
        <v>163.60400000000001</v>
      </c>
      <c r="Q45" s="2">
        <v>128.536</v>
      </c>
      <c r="R45" s="2">
        <v>278.96100000000001</v>
      </c>
      <c r="S45" s="2">
        <v>246.21700000000001</v>
      </c>
      <c r="T45" s="2">
        <v>179.58600000000001</v>
      </c>
      <c r="U45" s="2">
        <v>157.471</v>
      </c>
      <c r="V45" s="2"/>
      <c r="W45" s="2"/>
      <c r="X45" s="2"/>
      <c r="Y45" s="2"/>
      <c r="Z45" s="2"/>
      <c r="AA45" s="2"/>
    </row>
    <row r="46" spans="2:47" x14ac:dyDescent="0.2">
      <c r="B46" t="s">
        <v>63</v>
      </c>
      <c r="O46" s="2">
        <f>50.787+368.526</f>
        <v>419.31299999999999</v>
      </c>
      <c r="P46" s="2">
        <f>57.893+356.929</f>
        <v>414.822</v>
      </c>
      <c r="Q46" s="2">
        <f>62.111+346.508</f>
        <v>408.61899999999997</v>
      </c>
      <c r="R46">
        <f>49.321+546.279</f>
        <v>595.6</v>
      </c>
      <c r="S46">
        <f>36.649+553.741</f>
        <v>590.39</v>
      </c>
      <c r="T46">
        <f>21.279+579.896</f>
        <v>601.17499999999995</v>
      </c>
      <c r="U46">
        <f>21.311+577.912</f>
        <v>599.22300000000007</v>
      </c>
    </row>
    <row r="47" spans="2:47" x14ac:dyDescent="0.2">
      <c r="B47" t="s">
        <v>68</v>
      </c>
      <c r="O47" s="2">
        <v>898.89700000000005</v>
      </c>
      <c r="P47" s="2">
        <v>716.16700000000003</v>
      </c>
      <c r="Q47" s="2">
        <v>818.91499999999996</v>
      </c>
      <c r="R47" s="2">
        <v>805.83600000000001</v>
      </c>
      <c r="S47" s="2">
        <v>829.57899999999995</v>
      </c>
      <c r="T47" s="2">
        <v>875.11900000000003</v>
      </c>
      <c r="U47" s="2">
        <v>921.39300000000003</v>
      </c>
      <c r="V47" s="2"/>
      <c r="W47" s="2"/>
      <c r="X47" s="2"/>
      <c r="Y47" s="2"/>
      <c r="Z47" s="2"/>
      <c r="AA47" s="2"/>
    </row>
    <row r="48" spans="2:47" x14ac:dyDescent="0.2">
      <c r="B48" t="s">
        <v>69</v>
      </c>
      <c r="O48" s="2">
        <v>3744.2370000000001</v>
      </c>
      <c r="P48" s="2">
        <v>3745.9560000000001</v>
      </c>
      <c r="Q48" s="2">
        <v>3747.6770000000001</v>
      </c>
      <c r="R48" s="2">
        <v>3749.4</v>
      </c>
      <c r="S48" s="2">
        <v>3301.4659999999999</v>
      </c>
      <c r="T48" s="2">
        <f>3602.563+36.17</f>
        <v>3638.7330000000002</v>
      </c>
      <c r="U48" s="2">
        <f>36.191+3605.137</f>
        <v>3641.328</v>
      </c>
      <c r="V48" s="2"/>
      <c r="W48" s="2"/>
      <c r="X48" s="2"/>
      <c r="Y48" s="2"/>
      <c r="Z48" s="2"/>
      <c r="AA48" s="2"/>
    </row>
    <row r="49" spans="2:27" x14ac:dyDescent="0.2">
      <c r="B49" t="s">
        <v>61</v>
      </c>
      <c r="O49" s="2">
        <v>105.703</v>
      </c>
      <c r="P49" s="2">
        <v>120.714</v>
      </c>
      <c r="Q49" s="2">
        <v>126.127</v>
      </c>
      <c r="R49" s="2">
        <v>123.849</v>
      </c>
      <c r="S49" s="2">
        <v>68.400999999999996</v>
      </c>
      <c r="T49" s="2">
        <v>58.704000000000001</v>
      </c>
      <c r="U49" s="2">
        <v>61.927</v>
      </c>
      <c r="V49" s="2"/>
      <c r="W49" s="2"/>
      <c r="X49" s="2"/>
      <c r="Y49" s="2"/>
      <c r="Z49" s="2"/>
      <c r="AA49" s="2"/>
    </row>
    <row r="50" spans="2:27" x14ac:dyDescent="0.2">
      <c r="B50" t="s">
        <v>70</v>
      </c>
      <c r="O50" s="2">
        <v>2578.44</v>
      </c>
      <c r="P50" s="2">
        <v>2504.96</v>
      </c>
      <c r="Q50" s="2">
        <v>2493.0210000000002</v>
      </c>
      <c r="R50" s="2">
        <v>2414.1120000000001</v>
      </c>
      <c r="S50" s="2">
        <v>2131.348</v>
      </c>
      <c r="T50" s="2">
        <v>2066.7220000000002</v>
      </c>
      <c r="U50" s="2">
        <v>2210.0749999999998</v>
      </c>
      <c r="V50" s="2"/>
      <c r="W50" s="2"/>
      <c r="X50" s="2"/>
      <c r="Y50" s="2"/>
      <c r="Z50" s="2"/>
      <c r="AA50" s="2"/>
    </row>
    <row r="51" spans="2:27" x14ac:dyDescent="0.2">
      <c r="B51" t="s">
        <v>71</v>
      </c>
      <c r="O51" s="2">
        <f t="shared" ref="O51:U51" si="79">SUM(O45:O50)</f>
        <v>7888.3900000000012</v>
      </c>
      <c r="P51" s="2">
        <f t="shared" si="79"/>
        <v>7666.223</v>
      </c>
      <c r="Q51" s="2">
        <f t="shared" si="79"/>
        <v>7722.8950000000004</v>
      </c>
      <c r="R51" s="2">
        <f t="shared" si="79"/>
        <v>7967.7580000000007</v>
      </c>
      <c r="S51" s="2">
        <f t="shared" si="79"/>
        <v>7167.4009999999998</v>
      </c>
      <c r="T51" s="2">
        <f t="shared" si="79"/>
        <v>7420.0390000000007</v>
      </c>
      <c r="U51" s="2">
        <f t="shared" si="79"/>
        <v>7591.4169999999995</v>
      </c>
      <c r="V51" s="2"/>
      <c r="W51" s="2"/>
      <c r="X51" s="2"/>
      <c r="Y51" s="2"/>
      <c r="Z51" s="2"/>
      <c r="AA51" s="2"/>
    </row>
    <row r="53" spans="2:27" x14ac:dyDescent="0.2">
      <c r="B53" t="s">
        <v>75</v>
      </c>
      <c r="O53" s="2">
        <f t="shared" ref="O53:U53" si="80">O37/O15*90</f>
        <v>81.251608322004273</v>
      </c>
      <c r="P53" s="2">
        <f t="shared" si="80"/>
        <v>83.965517402865487</v>
      </c>
      <c r="Q53" s="2">
        <f t="shared" si="80"/>
        <v>84.544954318325424</v>
      </c>
      <c r="R53" s="2">
        <f t="shared" si="80"/>
        <v>84.505207204652635</v>
      </c>
      <c r="S53" s="2">
        <f t="shared" si="80"/>
        <v>83.4904454653729</v>
      </c>
      <c r="T53" s="2">
        <f t="shared" si="80"/>
        <v>83.094729845771695</v>
      </c>
      <c r="U53" s="2">
        <f t="shared" si="80"/>
        <v>78.40239579068232</v>
      </c>
      <c r="V53" s="2"/>
      <c r="W53" s="2"/>
      <c r="X53" s="2"/>
      <c r="Y53" s="2"/>
      <c r="Z53" s="2"/>
      <c r="AA53" s="2"/>
    </row>
    <row r="55" spans="2:27" s="2" customFormat="1" x14ac:dyDescent="0.2">
      <c r="B55" s="2" t="s">
        <v>35</v>
      </c>
      <c r="C55" s="3"/>
      <c r="D55" s="3"/>
      <c r="E55" s="3"/>
      <c r="F55" s="3"/>
      <c r="G55" s="3"/>
      <c r="H55" s="3"/>
      <c r="I55" s="3"/>
      <c r="J55" s="3">
        <v>185.52799999999999</v>
      </c>
      <c r="K55" s="3"/>
      <c r="L55" s="3">
        <v>-124.081</v>
      </c>
      <c r="M55" s="3"/>
      <c r="N55" s="3">
        <v>125.291</v>
      </c>
      <c r="O55" s="2">
        <v>151.102</v>
      </c>
      <c r="P55" s="2">
        <v>-81.936000000000007</v>
      </c>
      <c r="Q55" s="2">
        <v>12.781000000000001</v>
      </c>
      <c r="R55" s="2">
        <f>246.521-Q55-P55-O55</f>
        <v>164.57399999999998</v>
      </c>
      <c r="S55" s="2">
        <v>88.352000000000004</v>
      </c>
      <c r="T55" s="2">
        <v>-21.376999999999999</v>
      </c>
      <c r="U55" s="2">
        <v>115.872</v>
      </c>
    </row>
    <row r="56" spans="2:27" s="2" customFormat="1" x14ac:dyDescent="0.2">
      <c r="B56" s="2" t="s">
        <v>34</v>
      </c>
      <c r="C56" s="3"/>
      <c r="D56" s="3"/>
      <c r="E56" s="3"/>
      <c r="F56" s="3"/>
      <c r="G56" s="3"/>
      <c r="H56" s="3"/>
      <c r="I56" s="3"/>
      <c r="J56" s="3">
        <v>-24.565000000000001</v>
      </c>
      <c r="K56" s="3"/>
      <c r="L56" s="3">
        <v>-23.37</v>
      </c>
      <c r="M56" s="3"/>
      <c r="N56" s="3">
        <v>-46.924999999999997</v>
      </c>
      <c r="O56" s="2">
        <v>-47.63</v>
      </c>
      <c r="P56" s="2">
        <v>-36.942999999999998</v>
      </c>
      <c r="Q56" s="2">
        <v>-73.435000000000002</v>
      </c>
      <c r="R56" s="2">
        <f>-211.727-Q56-P56-O56</f>
        <v>-53.719000000000001</v>
      </c>
      <c r="S56" s="2">
        <v>-50.448</v>
      </c>
      <c r="T56" s="2">
        <v>-52.061999999999998</v>
      </c>
      <c r="U56" s="2">
        <v>-44.040999999999997</v>
      </c>
    </row>
    <row r="57" spans="2:27" s="2" customFormat="1" x14ac:dyDescent="0.2">
      <c r="B57" s="2" t="s">
        <v>33</v>
      </c>
      <c r="C57" s="3"/>
      <c r="D57" s="3"/>
      <c r="E57" s="3"/>
      <c r="F57" s="3"/>
      <c r="G57" s="3"/>
      <c r="H57" s="3"/>
      <c r="I57" s="3"/>
      <c r="J57" s="3">
        <f>+J55+J56</f>
        <v>160.96299999999999</v>
      </c>
      <c r="K57" s="3"/>
      <c r="L57" s="3">
        <f>+L55+L56</f>
        <v>-147.45099999999999</v>
      </c>
      <c r="M57" s="3"/>
      <c r="N57" s="3">
        <f t="shared" ref="N57:U57" si="81">+N55+N56</f>
        <v>78.366</v>
      </c>
      <c r="O57" s="3">
        <f t="shared" si="81"/>
        <v>103.47200000000001</v>
      </c>
      <c r="P57" s="3">
        <f t="shared" si="81"/>
        <v>-118.879</v>
      </c>
      <c r="Q57" s="3">
        <f t="shared" si="81"/>
        <v>-60.654000000000003</v>
      </c>
      <c r="R57" s="3">
        <f t="shared" si="81"/>
        <v>110.85499999999999</v>
      </c>
      <c r="S57" s="3">
        <f t="shared" si="81"/>
        <v>37.904000000000003</v>
      </c>
      <c r="T57" s="3">
        <f t="shared" si="81"/>
        <v>-73.438999999999993</v>
      </c>
      <c r="U57" s="3">
        <f t="shared" si="81"/>
        <v>71.831000000000003</v>
      </c>
    </row>
    <row r="59" spans="2:27" s="2" customFormat="1" x14ac:dyDescent="0.2">
      <c r="B59" s="2" t="s">
        <v>40</v>
      </c>
      <c r="C59" s="3"/>
      <c r="D59" s="3"/>
      <c r="E59" s="3"/>
      <c r="F59" s="3"/>
      <c r="G59" s="3">
        <v>4043</v>
      </c>
      <c r="H59" s="3">
        <v>4667</v>
      </c>
      <c r="I59" s="3">
        <v>5190</v>
      </c>
      <c r="J59" s="3">
        <v>5661</v>
      </c>
      <c r="K59" s="3">
        <v>6131</v>
      </c>
      <c r="L59" s="3">
        <v>6446</v>
      </c>
      <c r="M59" s="3">
        <v>5706</v>
      </c>
      <c r="N59" s="3">
        <v>5288</v>
      </c>
      <c r="O59" s="2">
        <v>5201</v>
      </c>
      <c r="P59" s="2">
        <v>5286</v>
      </c>
      <c r="Q59" s="2">
        <v>5367</v>
      </c>
      <c r="R59" s="2">
        <v>5289</v>
      </c>
      <c r="S59" s="2">
        <v>4835</v>
      </c>
      <c r="T59" s="2">
        <v>4719</v>
      </c>
    </row>
    <row r="60" spans="2:27" x14ac:dyDescent="0.2">
      <c r="K60" s="5">
        <f t="shared" ref="K60:T60" si="82">+K59/G59-1</f>
        <v>0.51644818204303733</v>
      </c>
      <c r="L60" s="5">
        <f t="shared" si="82"/>
        <v>0.38118705806728093</v>
      </c>
      <c r="M60" s="5">
        <f t="shared" si="82"/>
        <v>9.9421965317919136E-2</v>
      </c>
      <c r="N60" s="5">
        <f t="shared" si="82"/>
        <v>-6.5889418830595292E-2</v>
      </c>
      <c r="O60" s="5">
        <f t="shared" si="82"/>
        <v>-0.15168814222802152</v>
      </c>
      <c r="P60" s="5">
        <f t="shared" si="82"/>
        <v>-0.17995656220912193</v>
      </c>
      <c r="Q60" s="5">
        <f t="shared" si="82"/>
        <v>-5.9411146161934769E-2</v>
      </c>
      <c r="R60" s="5">
        <f t="shared" si="82"/>
        <v>1.8910741301048084E-4</v>
      </c>
      <c r="S60" s="5">
        <f t="shared" si="82"/>
        <v>-7.0371082484137704E-2</v>
      </c>
      <c r="T60" s="5">
        <f t="shared" si="82"/>
        <v>-0.10726447219069235</v>
      </c>
      <c r="U60" s="5"/>
      <c r="V60" s="5"/>
      <c r="W60" s="5"/>
      <c r="X60" s="5"/>
      <c r="Y60" s="5"/>
      <c r="Z60" s="5"/>
      <c r="AA60" s="5"/>
    </row>
  </sheetData>
  <hyperlinks>
    <hyperlink ref="A1" location="Main!A1" display="Main" xr:uid="{A60F2DBC-121C-4F1B-93EA-F88FABBCBBEF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Szewczyk</dc:creator>
  <cp:lastModifiedBy>Sebastian Szewczyk</cp:lastModifiedBy>
  <dcterms:created xsi:type="dcterms:W3CDTF">2022-07-21T20:23:43Z</dcterms:created>
  <dcterms:modified xsi:type="dcterms:W3CDTF">2026-09-06T12:24:00Z</dcterms:modified>
</cp:coreProperties>
</file>