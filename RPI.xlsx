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1s\modele\"/>
    </mc:Choice>
  </mc:AlternateContent>
  <xr:revisionPtr revIDLastSave="0" documentId="13_ncr:1_{8CB2B437-E31D-4A86-B91E-A6BFDBED1E02}" xr6:coauthVersionLast="47" xr6:coauthVersionMax="47" xr10:uidLastSave="{00000000-0000-0000-0000-000000000000}"/>
  <bookViews>
    <workbookView xWindow="19095" yWindow="0" windowWidth="19410" windowHeight="20985" activeTab="1" xr2:uid="{E98EB17B-F02A-46E8-ACDF-C760F78E973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O3" i="2"/>
  <c r="N3" i="2"/>
  <c r="M3" i="2"/>
  <c r="P10" i="2"/>
  <c r="O10" i="2"/>
  <c r="N10" i="2"/>
  <c r="M10" i="2"/>
  <c r="P8" i="2"/>
  <c r="O8" i="2"/>
  <c r="N8" i="2"/>
  <c r="M8" i="2"/>
  <c r="P7" i="2"/>
  <c r="O7" i="2"/>
  <c r="N7" i="2"/>
  <c r="M7" i="2"/>
  <c r="P6" i="2"/>
  <c r="O6" i="2"/>
  <c r="N6" i="2"/>
  <c r="M6" i="2"/>
  <c r="M4" i="2"/>
  <c r="M5" i="2" s="1"/>
  <c r="M9" i="2" s="1"/>
  <c r="M11" i="2" s="1"/>
  <c r="L4" i="2"/>
  <c r="L3" i="2"/>
  <c r="K9" i="2"/>
  <c r="J9" i="2"/>
  <c r="J20" i="2" s="1"/>
  <c r="K8" i="2"/>
  <c r="L8" i="2"/>
  <c r="L10" i="2"/>
  <c r="K26" i="2"/>
  <c r="J26" i="2"/>
  <c r="K19" i="2"/>
  <c r="K18" i="2"/>
  <c r="J19" i="2"/>
  <c r="J18" i="2"/>
  <c r="K10" i="2"/>
  <c r="J10" i="2"/>
  <c r="J8" i="2"/>
  <c r="I8" i="2"/>
  <c r="K5" i="2"/>
  <c r="J5" i="2"/>
  <c r="M12" i="2" l="1"/>
  <c r="M13" i="2" s="1"/>
  <c r="N4" i="2"/>
  <c r="N5" i="2" s="1"/>
  <c r="N9" i="2" s="1"/>
  <c r="N11" i="2" s="1"/>
  <c r="L5" i="2"/>
  <c r="L9" i="2" s="1"/>
  <c r="L11" i="2" s="1"/>
  <c r="L19" i="2"/>
  <c r="K20" i="2"/>
  <c r="K11" i="2"/>
  <c r="J11" i="2"/>
  <c r="L18" i="2"/>
  <c r="K4" i="1"/>
  <c r="K7" i="1" s="1"/>
  <c r="I26" i="2"/>
  <c r="H26" i="2"/>
  <c r="G26" i="2"/>
  <c r="F26" i="2"/>
  <c r="E26" i="2"/>
  <c r="I10" i="2"/>
  <c r="H10" i="2"/>
  <c r="G10" i="2"/>
  <c r="H8" i="2"/>
  <c r="G8" i="2"/>
  <c r="F8" i="2"/>
  <c r="E8" i="2"/>
  <c r="I5" i="2"/>
  <c r="I19" i="2" s="1"/>
  <c r="H5" i="2"/>
  <c r="H19" i="2" s="1"/>
  <c r="G5" i="2"/>
  <c r="G19" i="2" s="1"/>
  <c r="F5" i="2"/>
  <c r="F19" i="2" s="1"/>
  <c r="E5" i="2"/>
  <c r="E19" i="2" s="1"/>
  <c r="F18" i="2"/>
  <c r="G18" i="2"/>
  <c r="H18" i="2"/>
  <c r="I18" i="2"/>
  <c r="N12" i="2" l="1"/>
  <c r="N13" i="2"/>
  <c r="O4" i="2"/>
  <c r="O5" i="2" s="1"/>
  <c r="O9" i="2" s="1"/>
  <c r="O11" i="2" s="1"/>
  <c r="J21" i="2"/>
  <c r="J13" i="2"/>
  <c r="K13" i="2"/>
  <c r="K21" i="2"/>
  <c r="L20" i="2"/>
  <c r="F9" i="2"/>
  <c r="H9" i="2"/>
  <c r="I9" i="2"/>
  <c r="E9" i="2"/>
  <c r="G9" i="2"/>
  <c r="O12" i="2" l="1"/>
  <c r="O13" i="2"/>
  <c r="P4" i="2"/>
  <c r="P5" i="2"/>
  <c r="P9" i="2" s="1"/>
  <c r="P11" i="2" s="1"/>
  <c r="L21" i="2"/>
  <c r="L13" i="2"/>
  <c r="L22" i="2" s="1"/>
  <c r="K22" i="2"/>
  <c r="K14" i="2"/>
  <c r="J22" i="2"/>
  <c r="J14" i="2"/>
  <c r="G20" i="2"/>
  <c r="G11" i="2"/>
  <c r="H20" i="2"/>
  <c r="H11" i="2"/>
  <c r="E20" i="2"/>
  <c r="E11" i="2"/>
  <c r="I20" i="2"/>
  <c r="I11" i="2"/>
  <c r="F20" i="2"/>
  <c r="F11" i="2"/>
  <c r="P12" i="2" l="1"/>
  <c r="P13" i="2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F13" i="2"/>
  <c r="F22" i="2" s="1"/>
  <c r="F21" i="2"/>
  <c r="I13" i="2"/>
  <c r="I22" i="2" s="1"/>
  <c r="I21" i="2"/>
  <c r="H13" i="2"/>
  <c r="H22" i="2" s="1"/>
  <c r="H21" i="2"/>
  <c r="E13" i="2"/>
  <c r="E22" i="2" s="1"/>
  <c r="E21" i="2"/>
  <c r="G13" i="2"/>
  <c r="G22" i="2" s="1"/>
  <c r="G21" i="2"/>
  <c r="I14" i="2" l="1"/>
  <c r="O33" i="2" l="1"/>
  <c r="O34" i="2" s="1"/>
</calcChain>
</file>

<file path=xl/sharedStrings.xml><?xml version="1.0" encoding="utf-8"?>
<sst xmlns="http://schemas.openxmlformats.org/spreadsheetml/2006/main" count="33" uniqueCount="32">
  <si>
    <t>Price</t>
  </si>
  <si>
    <t>Shares</t>
  </si>
  <si>
    <t>MC</t>
  </si>
  <si>
    <t>Cash</t>
  </si>
  <si>
    <t>Debt</t>
  </si>
  <si>
    <t>EV</t>
  </si>
  <si>
    <t>Revenue</t>
  </si>
  <si>
    <t>Rev Y/Y</t>
  </si>
  <si>
    <t>COGS</t>
  </si>
  <si>
    <t>Gross Profit</t>
  </si>
  <si>
    <t>Gross Margin</t>
  </si>
  <si>
    <t>S&amp;A</t>
  </si>
  <si>
    <t>R&amp;D</t>
  </si>
  <si>
    <t>Operating expenses</t>
  </si>
  <si>
    <t>Operating income</t>
  </si>
  <si>
    <t>Operating Margin</t>
  </si>
  <si>
    <t>Interest</t>
  </si>
  <si>
    <t>Pretax</t>
  </si>
  <si>
    <t>Taxes</t>
  </si>
  <si>
    <t>Net Income</t>
  </si>
  <si>
    <t>EPS</t>
  </si>
  <si>
    <t>Tax rate</t>
  </si>
  <si>
    <t>CFFO</t>
  </si>
  <si>
    <t>CapEx</t>
  </si>
  <si>
    <t>FCF</t>
  </si>
  <si>
    <t>Discount rate</t>
  </si>
  <si>
    <t>NPV</t>
  </si>
  <si>
    <t>share</t>
  </si>
  <si>
    <t>Net Margin</t>
  </si>
  <si>
    <t>Q126</t>
  </si>
  <si>
    <t>Inventory</t>
  </si>
  <si>
    <t>terminal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</si>
</sst>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0.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0" fontId="1" fillId="0" borderId="0" xfId="0" applyFont="1"/>
    <xf numFmtId="10" fontId="0" fillId="0" borderId="0" xfId="0" applyNumberFormat="1"/>
    <xf numFmtId="2" fontId="0" fillId="0" borderId="0" xfId="0" applyNumberFormat="1"/>
    <xf numFmtId="9" fontId="0" fillId="0" borderId="0" xfId="0" applyNumberFormat="1"/>
    <xf numFmtId="164" fontId="0" fillId="0" borderId="0" xfId="0" applyNumberFormat="1"/>
    <xf numFmtId="2" fontId="1" fillId="0" borderId="0" xfId="0" applyNumberFormat="1" applyFont="1"/>
    <xf numFmtId="165" fontId="0" fillId="0" borderId="0" xfId="0" applyNumberFormat="1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0</xdr:row>
      <xdr:rowOff>47625</xdr:rowOff>
    </xdr:from>
    <xdr:to>
      <xdr:col>11</xdr:col>
      <xdr:colOff>28575</xdr:colOff>
      <xdr:row>57</xdr:row>
      <xdr:rowOff>9525</xdr:rowOff>
    </xdr:to>
    <xdr:cxnSp macro="">
      <xdr:nvCxnSpPr>
        <xdr:cNvPr id="3" name="Łącznik prosty 2">
          <a:extLst>
            <a:ext uri="{FF2B5EF4-FFF2-40B4-BE49-F238E27FC236}">
              <a16:creationId xmlns:a16="http://schemas.microsoft.com/office/drawing/2014/main" id="{E89914A7-6A64-40E7-3F04-8D5E856CC78C}"/>
            </a:ext>
          </a:extLst>
        </xdr:cNvPr>
        <xdr:cNvCxnSpPr/>
      </xdr:nvCxnSpPr>
      <xdr:spPr>
        <a:xfrm>
          <a:off x="7343775" y="47625"/>
          <a:ext cx="19050" cy="10820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D5B2-4C70-4AEF-9DFB-79A58BD75B45}">
  <dimension ref="J2:L7"/>
  <sheetViews>
    <sheetView workbookViewId="0">
      <selection activeCell="L35" sqref="L35"/>
    </sheetView>
  </sheetViews>
  <sheetFormatPr defaultRowHeight="15" x14ac:dyDescent="0.25"/>
  <sheetData>
    <row r="2" spans="10:12" x14ac:dyDescent="0.25">
      <c r="J2" t="s">
        <v>0</v>
      </c>
      <c r="K2" s="4">
        <v>6.64</v>
      </c>
      <c r="L2" t="s">
        <v>29</v>
      </c>
    </row>
    <row r="3" spans="10:12" x14ac:dyDescent="0.25">
      <c r="J3" t="s">
        <v>1</v>
      </c>
      <c r="K3">
        <v>198.7</v>
      </c>
    </row>
    <row r="4" spans="10:12" x14ac:dyDescent="0.25">
      <c r="J4" t="s">
        <v>2</v>
      </c>
      <c r="K4" s="1">
        <f>K3*K2</f>
        <v>1319.3679999999999</v>
      </c>
    </row>
    <row r="5" spans="10:12" x14ac:dyDescent="0.25">
      <c r="J5" t="s">
        <v>3</v>
      </c>
      <c r="K5">
        <v>28.4</v>
      </c>
    </row>
    <row r="6" spans="10:12" x14ac:dyDescent="0.25">
      <c r="J6" t="s">
        <v>4</v>
      </c>
      <c r="K6">
        <v>0</v>
      </c>
    </row>
    <row r="7" spans="10:12" x14ac:dyDescent="0.25">
      <c r="J7" t="s">
        <v>5</v>
      </c>
      <c r="K7" s="1">
        <f>K4-K5+K6</f>
        <v>1290.9679999999998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C23F-DC20-407B-BB0E-87053752C463}">
  <dimension ref="A2:DU34"/>
  <sheetViews>
    <sheetView tabSelected="1" workbookViewId="0">
      <selection activeCell="L3" sqref="L3"/>
    </sheetView>
  </sheetViews>
  <sheetFormatPr defaultRowHeight="15" x14ac:dyDescent="0.25"/>
  <cols>
    <col min="1" max="1" width="18.5703125" bestFit="1" customWidth="1"/>
    <col min="2" max="4" width="0" hidden="1" customWidth="1"/>
    <col min="14" max="14" width="12.7109375" bestFit="1" customWidth="1"/>
    <col min="15" max="15" width="9.85546875" bestFit="1" customWidth="1"/>
  </cols>
  <sheetData>
    <row r="2" spans="1:125" x14ac:dyDescent="0.25">
      <c r="E2">
        <v>2019</v>
      </c>
      <c r="F2">
        <v>2020</v>
      </c>
      <c r="G2">
        <v>2021</v>
      </c>
      <c r="H2">
        <v>2022</v>
      </c>
      <c r="I2">
        <v>2023</v>
      </c>
      <c r="J2">
        <v>2024</v>
      </c>
      <c r="K2">
        <v>2025</v>
      </c>
      <c r="L2">
        <v>2026</v>
      </c>
      <c r="M2" s="9">
        <v>2027</v>
      </c>
      <c r="N2" s="9">
        <v>2028</v>
      </c>
      <c r="O2" s="9">
        <v>2029</v>
      </c>
      <c r="P2" s="9">
        <v>2030</v>
      </c>
    </row>
    <row r="3" spans="1:125" s="2" customFormat="1" x14ac:dyDescent="0.25">
      <c r="A3" s="2" t="s">
        <v>6</v>
      </c>
      <c r="E3" s="2">
        <v>39.61</v>
      </c>
      <c r="F3" s="2">
        <v>99.92</v>
      </c>
      <c r="G3" s="2">
        <v>140.59</v>
      </c>
      <c r="H3" s="2">
        <v>187.86</v>
      </c>
      <c r="I3" s="2">
        <v>265.8</v>
      </c>
      <c r="J3" s="2">
        <v>259.5</v>
      </c>
      <c r="K3" s="2">
        <v>323.2</v>
      </c>
      <c r="L3" s="2">
        <f>256.9*2.1</f>
        <v>539.49</v>
      </c>
      <c r="M3" s="7">
        <f>L3*1.6</f>
        <v>863.18400000000008</v>
      </c>
      <c r="N3" s="7">
        <f>M3*1.6</f>
        <v>1381.0944000000002</v>
      </c>
      <c r="O3" s="7">
        <f>N3*1.6</f>
        <v>2209.7510400000006</v>
      </c>
      <c r="P3" s="7">
        <f>O3*1.6</f>
        <v>3535.6016640000012</v>
      </c>
    </row>
    <row r="4" spans="1:125" x14ac:dyDescent="0.25">
      <c r="A4" t="s">
        <v>8</v>
      </c>
      <c r="E4">
        <v>23.3</v>
      </c>
      <c r="F4">
        <v>69.510000000000005</v>
      </c>
      <c r="G4">
        <v>98.67</v>
      </c>
      <c r="H4">
        <v>145.58000000000001</v>
      </c>
      <c r="I4">
        <v>199.84</v>
      </c>
      <c r="J4">
        <v>196.3</v>
      </c>
      <c r="K4">
        <v>245.4</v>
      </c>
      <c r="L4">
        <f>197.5*2.1</f>
        <v>414.75</v>
      </c>
      <c r="M4" s="4">
        <f>M3*(1-0.24)</f>
        <v>656.01984000000004</v>
      </c>
      <c r="N4" s="4">
        <f>N3*(1-0.24)</f>
        <v>1049.6317440000003</v>
      </c>
      <c r="O4" s="4">
        <f>O3*(1-0.24)</f>
        <v>1679.4107904000005</v>
      </c>
      <c r="P4" s="4">
        <f>P3*(1-0.24)</f>
        <v>2687.057264640001</v>
      </c>
    </row>
    <row r="5" spans="1:125" x14ac:dyDescent="0.25">
      <c r="A5" t="s">
        <v>9</v>
      </c>
      <c r="E5">
        <f>E3-E4</f>
        <v>16.309999999999999</v>
      </c>
      <c r="F5">
        <f>F3-F4</f>
        <v>30.409999999999997</v>
      </c>
      <c r="G5">
        <f>G3-G4</f>
        <v>41.92</v>
      </c>
      <c r="H5">
        <f>H3-H4</f>
        <v>42.28</v>
      </c>
      <c r="I5">
        <f>I3-I4</f>
        <v>65.960000000000008</v>
      </c>
      <c r="J5">
        <f>J3-J4</f>
        <v>63.199999999999989</v>
      </c>
      <c r="K5">
        <f>K3-K4</f>
        <v>77.799999999999983</v>
      </c>
      <c r="L5">
        <f>L3-L4</f>
        <v>124.74000000000001</v>
      </c>
      <c r="M5" s="4">
        <f>M3-M4</f>
        <v>207.16416000000004</v>
      </c>
      <c r="N5" s="4">
        <f>N3-N4</f>
        <v>331.46265599999992</v>
      </c>
      <c r="O5" s="4">
        <f>O3-O4</f>
        <v>530.34024960000011</v>
      </c>
      <c r="P5" s="4">
        <f>P3-P4</f>
        <v>848.54439936000017</v>
      </c>
    </row>
    <row r="6" spans="1:125" x14ac:dyDescent="0.25">
      <c r="A6" t="s">
        <v>11</v>
      </c>
      <c r="E6">
        <v>11.12</v>
      </c>
      <c r="F6">
        <v>5.91</v>
      </c>
      <c r="G6">
        <v>9.86</v>
      </c>
      <c r="H6">
        <v>11.68</v>
      </c>
      <c r="I6">
        <v>17.63</v>
      </c>
      <c r="J6">
        <v>24.8</v>
      </c>
      <c r="K6">
        <v>27.6</v>
      </c>
      <c r="L6">
        <v>46</v>
      </c>
      <c r="M6" s="4">
        <f>L6*1.2</f>
        <v>55.199999999999996</v>
      </c>
      <c r="N6" s="4">
        <f>M6*1.2</f>
        <v>66.239999999999995</v>
      </c>
      <c r="O6" s="4">
        <f>N6*1.2</f>
        <v>79.487999999999985</v>
      </c>
      <c r="P6" s="4">
        <f>O6*1.2</f>
        <v>95.385599999999982</v>
      </c>
    </row>
    <row r="7" spans="1:125" x14ac:dyDescent="0.25">
      <c r="A7" t="s">
        <v>12</v>
      </c>
      <c r="E7">
        <v>0</v>
      </c>
      <c r="F7">
        <v>3.84</v>
      </c>
      <c r="G7">
        <v>11.12</v>
      </c>
      <c r="H7">
        <v>9.25</v>
      </c>
      <c r="I7">
        <v>10.58</v>
      </c>
      <c r="J7">
        <v>17.899999999999999</v>
      </c>
      <c r="K7">
        <v>22.5</v>
      </c>
      <c r="L7">
        <v>33.200000000000003</v>
      </c>
      <c r="M7" s="4">
        <f>L7*1.6</f>
        <v>53.120000000000005</v>
      </c>
      <c r="N7" s="4">
        <f>M7*1.6</f>
        <v>84.992000000000019</v>
      </c>
      <c r="O7" s="4">
        <f>N7*1.6</f>
        <v>135.98720000000003</v>
      </c>
      <c r="P7" s="4">
        <f>O7*1.6</f>
        <v>217.57952000000006</v>
      </c>
    </row>
    <row r="8" spans="1:125" x14ac:dyDescent="0.25">
      <c r="A8" t="s">
        <v>13</v>
      </c>
      <c r="E8">
        <f>SUM(E6:E7)</f>
        <v>11.12</v>
      </c>
      <c r="F8">
        <f>SUM(F6:F7)</f>
        <v>9.75</v>
      </c>
      <c r="G8">
        <f>SUM(G6:G7)</f>
        <v>20.979999999999997</v>
      </c>
      <c r="H8">
        <f>SUM(H6:H7)</f>
        <v>20.93</v>
      </c>
      <c r="I8">
        <f>SUM(I6:I7)</f>
        <v>28.21</v>
      </c>
      <c r="J8">
        <f>SUM(J6:J7)</f>
        <v>42.7</v>
      </c>
      <c r="K8">
        <f>SUM(K6:K7)</f>
        <v>50.1</v>
      </c>
      <c r="L8">
        <f>SUM(L6:L7)</f>
        <v>79.2</v>
      </c>
      <c r="M8" s="4">
        <f>SUM(M6:M7)</f>
        <v>108.32</v>
      </c>
      <c r="N8" s="4">
        <f>SUM(N6:N7)</f>
        <v>151.23200000000003</v>
      </c>
      <c r="O8" s="4">
        <f>SUM(O6:O7)</f>
        <v>215.47520000000003</v>
      </c>
      <c r="P8" s="4">
        <f>SUM(P6:P7)</f>
        <v>312.96512000000007</v>
      </c>
    </row>
    <row r="9" spans="1:125" x14ac:dyDescent="0.25">
      <c r="A9" t="s">
        <v>14</v>
      </c>
      <c r="E9">
        <f>E5-E8</f>
        <v>5.1899999999999995</v>
      </c>
      <c r="F9">
        <f>F5-F8</f>
        <v>20.659999999999997</v>
      </c>
      <c r="G9">
        <f>G5-G8</f>
        <v>20.940000000000005</v>
      </c>
      <c r="H9">
        <f>H5-H8</f>
        <v>21.35</v>
      </c>
      <c r="I9">
        <f>I5-I8</f>
        <v>37.750000000000007</v>
      </c>
      <c r="J9">
        <f>J5-J8</f>
        <v>20.499999999999986</v>
      </c>
      <c r="K9">
        <f>K5-K8</f>
        <v>27.699999999999982</v>
      </c>
      <c r="L9">
        <f>L5-L8</f>
        <v>45.540000000000006</v>
      </c>
      <c r="M9" s="4">
        <f>M5-M8</f>
        <v>98.844160000000045</v>
      </c>
      <c r="N9" s="4">
        <f>N5-N8</f>
        <v>180.2306559999999</v>
      </c>
      <c r="O9" s="4">
        <f>O5-O8</f>
        <v>314.86504960000008</v>
      </c>
      <c r="P9" s="4">
        <f>P5-P8</f>
        <v>535.5792793600001</v>
      </c>
    </row>
    <row r="10" spans="1:125" x14ac:dyDescent="0.25">
      <c r="A10" t="s">
        <v>16</v>
      </c>
      <c r="E10">
        <v>0</v>
      </c>
      <c r="F10">
        <v>-0.13</v>
      </c>
      <c r="G10">
        <f>-0.32-0.25</f>
        <v>-0.57000000000000006</v>
      </c>
      <c r="H10">
        <f>-0.22+1.02+0.05</f>
        <v>0.85000000000000009</v>
      </c>
      <c r="I10">
        <f>-0.48+1.44-0.49</f>
        <v>0.47</v>
      </c>
      <c r="J10">
        <f>1.1-1.2</f>
        <v>-9.9999999999999867E-2</v>
      </c>
      <c r="K10">
        <f>1-1.4</f>
        <v>-0.39999999999999991</v>
      </c>
      <c r="L10" s="8">
        <f>-0.4</f>
        <v>-0.4</v>
      </c>
      <c r="M10" s="8">
        <f>-0.4</f>
        <v>-0.4</v>
      </c>
      <c r="N10" s="8">
        <f>-0.4</f>
        <v>-0.4</v>
      </c>
      <c r="O10" s="8">
        <f>-0.4</f>
        <v>-0.4</v>
      </c>
      <c r="P10" s="8">
        <f>-0.4</f>
        <v>-0.4</v>
      </c>
    </row>
    <row r="11" spans="1:125" x14ac:dyDescent="0.25">
      <c r="A11" t="s">
        <v>17</v>
      </c>
      <c r="E11">
        <f>E9-E10</f>
        <v>5.1899999999999995</v>
      </c>
      <c r="F11">
        <f>F9-F10</f>
        <v>20.789999999999996</v>
      </c>
      <c r="G11">
        <f>G9-G10</f>
        <v>21.510000000000005</v>
      </c>
      <c r="H11">
        <f>H9-H10</f>
        <v>20.5</v>
      </c>
      <c r="I11">
        <f>I9-I10</f>
        <v>37.280000000000008</v>
      </c>
      <c r="J11">
        <f>J9-J10</f>
        <v>20.599999999999987</v>
      </c>
      <c r="K11">
        <f>K9-K10</f>
        <v>28.09999999999998</v>
      </c>
      <c r="L11" s="4">
        <f>L9-L10</f>
        <v>45.940000000000005</v>
      </c>
      <c r="M11" s="4">
        <f>M9-M10</f>
        <v>99.244160000000051</v>
      </c>
      <c r="N11" s="4">
        <f>N9-N10</f>
        <v>180.6306559999999</v>
      </c>
      <c r="O11" s="4">
        <f>O9-O10</f>
        <v>315.26504960000005</v>
      </c>
      <c r="P11" s="4">
        <f>P9-P10</f>
        <v>535.97927936000008</v>
      </c>
    </row>
    <row r="12" spans="1:125" x14ac:dyDescent="0.25">
      <c r="A12" t="s">
        <v>18</v>
      </c>
      <c r="E12">
        <v>0</v>
      </c>
      <c r="F12">
        <v>1.1399999999999999</v>
      </c>
      <c r="G12">
        <v>3.62</v>
      </c>
      <c r="H12">
        <v>3.02</v>
      </c>
      <c r="I12">
        <v>6.62</v>
      </c>
      <c r="J12">
        <v>4.5999999999999996</v>
      </c>
      <c r="K12">
        <v>4.8</v>
      </c>
      <c r="L12" s="4">
        <v>5</v>
      </c>
      <c r="M12" s="4">
        <f>0.16*M11</f>
        <v>15.879065600000008</v>
      </c>
      <c r="N12" s="4">
        <f>0.16*N11</f>
        <v>28.900904959999984</v>
      </c>
      <c r="O12" s="4">
        <f>0.16*O11</f>
        <v>50.442407936000009</v>
      </c>
      <c r="P12" s="4">
        <f>0.16*P11</f>
        <v>85.756684697600008</v>
      </c>
    </row>
    <row r="13" spans="1:125" x14ac:dyDescent="0.25">
      <c r="A13" t="s">
        <v>19</v>
      </c>
      <c r="E13">
        <f>E11-E12</f>
        <v>5.1899999999999995</v>
      </c>
      <c r="F13">
        <f>F11-F12</f>
        <v>19.649999999999995</v>
      </c>
      <c r="G13">
        <f>G11-G12</f>
        <v>17.890000000000004</v>
      </c>
      <c r="H13">
        <f>H11-H12</f>
        <v>17.48</v>
      </c>
      <c r="I13">
        <f>I11-I12</f>
        <v>30.660000000000007</v>
      </c>
      <c r="J13">
        <f>J11-J12</f>
        <v>15.999999999999988</v>
      </c>
      <c r="K13">
        <f>K11-K12</f>
        <v>23.299999999999979</v>
      </c>
      <c r="L13" s="4">
        <f>L11-L12</f>
        <v>40.940000000000005</v>
      </c>
      <c r="M13" s="4">
        <f>M11-M12</f>
        <v>83.365094400000046</v>
      </c>
      <c r="N13" s="4">
        <f>N11-N12</f>
        <v>151.72975103999991</v>
      </c>
      <c r="O13" s="4">
        <f>O11-O12</f>
        <v>264.82264166400006</v>
      </c>
      <c r="P13" s="4">
        <f>P11-P12</f>
        <v>450.22259466240007</v>
      </c>
      <c r="Q13">
        <f>P13*(1+$O$31)</f>
        <v>445.72036871577609</v>
      </c>
      <c r="R13">
        <f t="shared" ref="R13:CC13" si="0">Q13*(1+$O$31)</f>
        <v>441.26316502861835</v>
      </c>
      <c r="S13">
        <f t="shared" si="0"/>
        <v>436.85053337833216</v>
      </c>
      <c r="T13">
        <f t="shared" si="0"/>
        <v>432.48202804454883</v>
      </c>
      <c r="U13">
        <f t="shared" si="0"/>
        <v>428.15720776410336</v>
      </c>
      <c r="V13">
        <f t="shared" si="0"/>
        <v>423.87563568646232</v>
      </c>
      <c r="W13">
        <f t="shared" si="0"/>
        <v>419.63687932959772</v>
      </c>
      <c r="X13">
        <f t="shared" si="0"/>
        <v>415.44051053630176</v>
      </c>
      <c r="Y13">
        <f t="shared" si="0"/>
        <v>411.28610543093873</v>
      </c>
      <c r="Z13">
        <f t="shared" si="0"/>
        <v>407.17324437662933</v>
      </c>
      <c r="AA13">
        <f t="shared" si="0"/>
        <v>403.10151193286305</v>
      </c>
      <c r="AB13">
        <f t="shared" si="0"/>
        <v>399.07049681353442</v>
      </c>
      <c r="AC13">
        <f t="shared" si="0"/>
        <v>395.07979184539909</v>
      </c>
      <c r="AD13">
        <f t="shared" si="0"/>
        <v>391.1289939269451</v>
      </c>
      <c r="AE13">
        <f t="shared" si="0"/>
        <v>387.21770398767563</v>
      </c>
      <c r="AF13">
        <f t="shared" si="0"/>
        <v>383.34552694779887</v>
      </c>
      <c r="AG13">
        <f t="shared" si="0"/>
        <v>379.51207167832086</v>
      </c>
      <c r="AH13">
        <f t="shared" si="0"/>
        <v>375.71695096153763</v>
      </c>
      <c r="AI13">
        <f t="shared" si="0"/>
        <v>371.95978145192225</v>
      </c>
      <c r="AJ13">
        <f t="shared" si="0"/>
        <v>368.24018363740305</v>
      </c>
      <c r="AK13">
        <f t="shared" si="0"/>
        <v>364.55778180102902</v>
      </c>
      <c r="AL13">
        <f t="shared" si="0"/>
        <v>360.91220398301874</v>
      </c>
      <c r="AM13">
        <f t="shared" si="0"/>
        <v>357.30308194318854</v>
      </c>
      <c r="AN13">
        <f t="shared" si="0"/>
        <v>353.73005112375665</v>
      </c>
      <c r="AO13">
        <f t="shared" si="0"/>
        <v>350.19275061251909</v>
      </c>
      <c r="AP13">
        <f t="shared" si="0"/>
        <v>346.69082310639391</v>
      </c>
      <c r="AQ13">
        <f t="shared" si="0"/>
        <v>343.22391487532997</v>
      </c>
      <c r="AR13">
        <f t="shared" si="0"/>
        <v>339.79167572657667</v>
      </c>
      <c r="AS13">
        <f t="shared" si="0"/>
        <v>336.39375896931091</v>
      </c>
      <c r="AT13">
        <f t="shared" si="0"/>
        <v>333.02982137961777</v>
      </c>
      <c r="AU13">
        <f t="shared" si="0"/>
        <v>329.69952316582157</v>
      </c>
      <c r="AV13">
        <f t="shared" si="0"/>
        <v>326.40252793416334</v>
      </c>
      <c r="AW13">
        <f t="shared" si="0"/>
        <v>323.13850265482171</v>
      </c>
      <c r="AX13">
        <f t="shared" si="0"/>
        <v>319.90711762827351</v>
      </c>
      <c r="AY13">
        <f t="shared" si="0"/>
        <v>316.70804645199075</v>
      </c>
      <c r="AZ13">
        <f t="shared" si="0"/>
        <v>313.54096598747083</v>
      </c>
      <c r="BA13">
        <f t="shared" si="0"/>
        <v>310.40555632759612</v>
      </c>
      <c r="BB13">
        <f t="shared" si="0"/>
        <v>307.30150076432017</v>
      </c>
      <c r="BC13">
        <f t="shared" si="0"/>
        <v>304.22848575667695</v>
      </c>
      <c r="BD13">
        <f t="shared" si="0"/>
        <v>301.18620089911019</v>
      </c>
      <c r="BE13">
        <f t="shared" si="0"/>
        <v>298.17433889011909</v>
      </c>
      <c r="BF13">
        <f t="shared" si="0"/>
        <v>295.19259550121791</v>
      </c>
      <c r="BG13">
        <f t="shared" si="0"/>
        <v>292.24066954620571</v>
      </c>
      <c r="BH13">
        <f t="shared" si="0"/>
        <v>289.31826285074362</v>
      </c>
      <c r="BI13">
        <f t="shared" si="0"/>
        <v>286.4250802222362</v>
      </c>
      <c r="BJ13">
        <f t="shared" si="0"/>
        <v>283.56082942001382</v>
      </c>
      <c r="BK13">
        <f t="shared" si="0"/>
        <v>280.72522112581368</v>
      </c>
      <c r="BL13">
        <f t="shared" si="0"/>
        <v>277.91796891455556</v>
      </c>
      <c r="BM13">
        <f t="shared" si="0"/>
        <v>275.13878922540999</v>
      </c>
      <c r="BN13">
        <f t="shared" si="0"/>
        <v>272.38740133315588</v>
      </c>
      <c r="BO13">
        <f t="shared" si="0"/>
        <v>269.66352731982431</v>
      </c>
      <c r="BP13">
        <f t="shared" si="0"/>
        <v>266.96689204662607</v>
      </c>
      <c r="BQ13">
        <f t="shared" si="0"/>
        <v>264.29722312615979</v>
      </c>
      <c r="BR13">
        <f t="shared" si="0"/>
        <v>261.65425089489821</v>
      </c>
      <c r="BS13">
        <f t="shared" si="0"/>
        <v>259.0377083859492</v>
      </c>
      <c r="BT13">
        <f t="shared" si="0"/>
        <v>256.44733130208971</v>
      </c>
      <c r="BU13">
        <f t="shared" si="0"/>
        <v>253.88285798906881</v>
      </c>
      <c r="BV13">
        <f t="shared" si="0"/>
        <v>251.34402940917812</v>
      </c>
      <c r="BW13">
        <f t="shared" si="0"/>
        <v>248.83058911508633</v>
      </c>
      <c r="BX13">
        <f t="shared" si="0"/>
        <v>246.34228322393545</v>
      </c>
      <c r="BY13">
        <f t="shared" si="0"/>
        <v>243.87886039169609</v>
      </c>
      <c r="BZ13">
        <f t="shared" si="0"/>
        <v>241.44007178777912</v>
      </c>
      <c r="CA13">
        <f t="shared" si="0"/>
        <v>239.02567106990134</v>
      </c>
      <c r="CB13">
        <f t="shared" si="0"/>
        <v>236.63541435920231</v>
      </c>
      <c r="CC13">
        <f t="shared" si="0"/>
        <v>234.2690602156103</v>
      </c>
      <c r="CD13">
        <f t="shared" ref="CD13:DU13" si="1">CC13*(1+$O$31)</f>
        <v>231.9263696134542</v>
      </c>
      <c r="CE13">
        <f t="shared" si="1"/>
        <v>229.60710591731964</v>
      </c>
      <c r="CF13">
        <f t="shared" si="1"/>
        <v>227.31103485814646</v>
      </c>
      <c r="CG13">
        <f t="shared" si="1"/>
        <v>225.03792450956499</v>
      </c>
      <c r="CH13">
        <f t="shared" si="1"/>
        <v>222.78754526446934</v>
      </c>
      <c r="CI13">
        <f t="shared" si="1"/>
        <v>220.55966981182465</v>
      </c>
      <c r="CJ13">
        <f t="shared" si="1"/>
        <v>218.35407311370639</v>
      </c>
      <c r="CK13">
        <f t="shared" si="1"/>
        <v>216.17053238256932</v>
      </c>
      <c r="CL13">
        <f t="shared" si="1"/>
        <v>214.00882705874363</v>
      </c>
      <c r="CM13">
        <f t="shared" si="1"/>
        <v>211.86873878815621</v>
      </c>
      <c r="CN13">
        <f t="shared" si="1"/>
        <v>209.75005140027466</v>
      </c>
      <c r="CO13">
        <f t="shared" si="1"/>
        <v>207.65255088627191</v>
      </c>
      <c r="CP13">
        <f t="shared" si="1"/>
        <v>205.5760253774092</v>
      </c>
      <c r="CQ13">
        <f t="shared" si="1"/>
        <v>203.52026512363511</v>
      </c>
      <c r="CR13">
        <f t="shared" si="1"/>
        <v>201.48506247239877</v>
      </c>
      <c r="CS13">
        <f t="shared" si="1"/>
        <v>199.47021184767479</v>
      </c>
      <c r="CT13">
        <f t="shared" si="1"/>
        <v>197.47550972919805</v>
      </c>
      <c r="CU13">
        <f t="shared" si="1"/>
        <v>195.50075463190606</v>
      </c>
      <c r="CV13">
        <f t="shared" si="1"/>
        <v>193.54574708558701</v>
      </c>
      <c r="CW13">
        <f t="shared" si="1"/>
        <v>191.61028961473113</v>
      </c>
      <c r="CX13">
        <f t="shared" si="1"/>
        <v>189.69418671858381</v>
      </c>
      <c r="CY13">
        <f t="shared" si="1"/>
        <v>187.79724485139798</v>
      </c>
      <c r="CZ13">
        <f t="shared" si="1"/>
        <v>185.91927240288399</v>
      </c>
      <c r="DA13">
        <f t="shared" si="1"/>
        <v>184.06007967885515</v>
      </c>
      <c r="DB13">
        <f t="shared" si="1"/>
        <v>182.2194788820666</v>
      </c>
      <c r="DC13">
        <f t="shared" si="1"/>
        <v>180.39728409324593</v>
      </c>
      <c r="DD13">
        <f t="shared" si="1"/>
        <v>178.59331125231347</v>
      </c>
      <c r="DE13">
        <f t="shared" si="1"/>
        <v>176.80737813979033</v>
      </c>
      <c r="DF13">
        <f t="shared" si="1"/>
        <v>175.03930435839243</v>
      </c>
      <c r="DG13">
        <f t="shared" si="1"/>
        <v>173.2889113148085</v>
      </c>
      <c r="DH13">
        <f t="shared" si="1"/>
        <v>171.55602220166043</v>
      </c>
      <c r="DI13">
        <f t="shared" si="1"/>
        <v>169.84046197964383</v>
      </c>
      <c r="DJ13">
        <f t="shared" si="1"/>
        <v>168.1420573598474</v>
      </c>
      <c r="DK13">
        <f t="shared" si="1"/>
        <v>166.46063678624893</v>
      </c>
      <c r="DL13">
        <f t="shared" si="1"/>
        <v>164.79603041838644</v>
      </c>
      <c r="DM13">
        <f t="shared" si="1"/>
        <v>163.14807011420257</v>
      </c>
      <c r="DN13">
        <f t="shared" si="1"/>
        <v>161.51658941306053</v>
      </c>
      <c r="DO13">
        <f t="shared" si="1"/>
        <v>159.90142351892993</v>
      </c>
      <c r="DP13">
        <f t="shared" si="1"/>
        <v>158.30240928374064</v>
      </c>
      <c r="DQ13">
        <f t="shared" si="1"/>
        <v>156.71938519090324</v>
      </c>
      <c r="DR13">
        <f t="shared" si="1"/>
        <v>155.15219133899421</v>
      </c>
      <c r="DS13">
        <f t="shared" si="1"/>
        <v>153.60066942560428</v>
      </c>
      <c r="DT13">
        <f t="shared" si="1"/>
        <v>152.06466273134825</v>
      </c>
      <c r="DU13">
        <f t="shared" si="1"/>
        <v>150.54401610403477</v>
      </c>
    </row>
    <row r="14" spans="1:125" x14ac:dyDescent="0.25">
      <c r="A14" t="s">
        <v>20</v>
      </c>
      <c r="I14" s="4">
        <f>I13/I15</f>
        <v>0.15851514838175995</v>
      </c>
      <c r="J14" s="4">
        <f>J13/J15</f>
        <v>8.4790673025967087E-2</v>
      </c>
      <c r="K14" s="4">
        <f>K13/K15</f>
        <v>0.11811821960863825</v>
      </c>
    </row>
    <row r="15" spans="1:125" x14ac:dyDescent="0.25">
      <c r="A15" t="s">
        <v>1</v>
      </c>
      <c r="I15" s="4">
        <v>193.42</v>
      </c>
      <c r="J15">
        <v>188.7</v>
      </c>
      <c r="K15">
        <v>197.26</v>
      </c>
      <c r="L15">
        <v>198.7</v>
      </c>
    </row>
    <row r="18" spans="1:15" x14ac:dyDescent="0.25">
      <c r="A18" t="s">
        <v>7</v>
      </c>
      <c r="F18" s="3">
        <f>F3/E3-1</f>
        <v>1.5225953042161073</v>
      </c>
      <c r="G18" s="3">
        <f>G3/F3-1</f>
        <v>0.40702562049639712</v>
      </c>
      <c r="H18" s="3">
        <f>H3/G3-1</f>
        <v>0.33622590511416184</v>
      </c>
      <c r="I18" s="3">
        <f>I3/H3-1</f>
        <v>0.41488342382625354</v>
      </c>
      <c r="J18" s="3">
        <f>J3/I3-1</f>
        <v>-2.3702031602708895E-2</v>
      </c>
      <c r="K18" s="3">
        <f>K3/J3-1</f>
        <v>0.24547206165703273</v>
      </c>
      <c r="L18" s="3">
        <f>L3/K3-1</f>
        <v>0.66921410891089117</v>
      </c>
    </row>
    <row r="19" spans="1:15" s="3" customFormat="1" x14ac:dyDescent="0.25">
      <c r="A19" s="3" t="s">
        <v>10</v>
      </c>
      <c r="E19" s="3">
        <f>E5/E3</f>
        <v>0.41176470588235292</v>
      </c>
      <c r="F19" s="3">
        <f>F5/F3</f>
        <v>0.30434347477982382</v>
      </c>
      <c r="G19" s="3">
        <f>G5/G3</f>
        <v>0.29817198947293549</v>
      </c>
      <c r="H19" s="3">
        <f>H5/H3</f>
        <v>0.22506121579899924</v>
      </c>
      <c r="I19" s="3">
        <f>I5/I3</f>
        <v>0.24815650865312266</v>
      </c>
      <c r="J19" s="3">
        <f>J5/J3</f>
        <v>0.24354527938342962</v>
      </c>
      <c r="K19" s="3">
        <f>K5/K3</f>
        <v>0.24071782178217818</v>
      </c>
      <c r="L19" s="3">
        <f>L5/L3</f>
        <v>0.23121837290774622</v>
      </c>
    </row>
    <row r="20" spans="1:15" s="3" customFormat="1" x14ac:dyDescent="0.25">
      <c r="A20" s="3" t="s">
        <v>15</v>
      </c>
      <c r="E20" s="3">
        <f>E9/E3</f>
        <v>0.13102751830345871</v>
      </c>
      <c r="F20" s="3">
        <f t="shared" ref="F20:I20" si="2">F9/F3</f>
        <v>0.20676541232986384</v>
      </c>
      <c r="G20" s="3">
        <f t="shared" si="2"/>
        <v>0.14894373710790243</v>
      </c>
      <c r="H20" s="3">
        <f t="shared" si="2"/>
        <v>0.11364846162035558</v>
      </c>
      <c r="I20" s="3">
        <f t="shared" si="2"/>
        <v>0.14202407825432659</v>
      </c>
      <c r="J20" s="3">
        <f t="shared" ref="J20:K20" si="3">J9/J3</f>
        <v>7.8998073217726339E-2</v>
      </c>
      <c r="K20" s="3">
        <f t="shared" si="3"/>
        <v>8.5705445544554407E-2</v>
      </c>
      <c r="L20" s="3">
        <f t="shared" ref="L20" si="4">L9/L3</f>
        <v>8.4413056775843862E-2</v>
      </c>
    </row>
    <row r="21" spans="1:15" x14ac:dyDescent="0.25">
      <c r="A21" t="s">
        <v>21</v>
      </c>
      <c r="E21" s="3">
        <f>E12/E11</f>
        <v>0</v>
      </c>
      <c r="F21" s="3">
        <f>F12/F11</f>
        <v>5.4834054834054839E-2</v>
      </c>
      <c r="G21" s="3">
        <f>G12/G11</f>
        <v>0.16829381682938166</v>
      </c>
      <c r="H21" s="3">
        <f>H12/H11</f>
        <v>0.1473170731707317</v>
      </c>
      <c r="I21" s="3">
        <f>I12/I11</f>
        <v>0.17757510729613729</v>
      </c>
      <c r="J21" s="3">
        <f>J12/J11</f>
        <v>0.22330097087378653</v>
      </c>
      <c r="K21" s="3">
        <f>K12/K11</f>
        <v>0.17081850533807841</v>
      </c>
      <c r="L21" s="3">
        <f>L12/L11</f>
        <v>0.10883761427949498</v>
      </c>
    </row>
    <row r="22" spans="1:15" x14ac:dyDescent="0.25">
      <c r="A22" t="s">
        <v>28</v>
      </c>
      <c r="E22" s="3">
        <f>E13/E3</f>
        <v>0.13102751830345871</v>
      </c>
      <c r="F22" s="3">
        <f>F13/F3</f>
        <v>0.19665732586068849</v>
      </c>
      <c r="G22" s="3">
        <f>G13/G3</f>
        <v>0.12724944875168934</v>
      </c>
      <c r="H22" s="3">
        <f>H13/H3</f>
        <v>9.3048014478867236E-2</v>
      </c>
      <c r="I22" s="3">
        <f>I13/I3</f>
        <v>0.11534988713318287</v>
      </c>
      <c r="J22" s="3">
        <f>J13/J3</f>
        <v>6.1657032755298602E-2</v>
      </c>
      <c r="K22" s="3">
        <f>K13/K3</f>
        <v>7.2091584158415781E-2</v>
      </c>
      <c r="L22" s="3">
        <f>L13/L3</f>
        <v>7.5886485384344476E-2</v>
      </c>
    </row>
    <row r="24" spans="1:15" x14ac:dyDescent="0.25">
      <c r="A24" t="s">
        <v>22</v>
      </c>
      <c r="E24">
        <v>9.18</v>
      </c>
      <c r="F24">
        <v>10.99</v>
      </c>
      <c r="G24">
        <v>0.51</v>
      </c>
      <c r="H24">
        <v>14.34</v>
      </c>
      <c r="I24">
        <v>21.1</v>
      </c>
      <c r="J24">
        <v>-3.2</v>
      </c>
      <c r="K24">
        <v>6.2</v>
      </c>
    </row>
    <row r="25" spans="1:15" x14ac:dyDescent="0.25">
      <c r="A25" t="s">
        <v>23</v>
      </c>
      <c r="E25">
        <v>-0.74</v>
      </c>
      <c r="F25">
        <v>-1.8</v>
      </c>
      <c r="G25">
        <v>-2.8</v>
      </c>
      <c r="H25">
        <v>-2.14</v>
      </c>
      <c r="I25">
        <v>-3.88</v>
      </c>
      <c r="J25">
        <v>-2.2000000000000002</v>
      </c>
      <c r="K25">
        <v>-1.8</v>
      </c>
    </row>
    <row r="26" spans="1:15" x14ac:dyDescent="0.25">
      <c r="A26" t="s">
        <v>24</v>
      </c>
      <c r="E26">
        <f>SUM(E24:E25)</f>
        <v>8.44</v>
      </c>
      <c r="F26">
        <f>SUM(F24:F25)</f>
        <v>9.19</v>
      </c>
      <c r="G26">
        <f>SUM(G24:G25)</f>
        <v>-2.29</v>
      </c>
      <c r="H26">
        <f>SUM(H24:H25)</f>
        <v>12.2</v>
      </c>
      <c r="I26">
        <f>SUM(I24:I25)</f>
        <v>17.220000000000002</v>
      </c>
      <c r="J26">
        <f>SUM(J24:J25)</f>
        <v>-5.4</v>
      </c>
      <c r="K26">
        <f>SUM(K24:K25)</f>
        <v>4.4000000000000004</v>
      </c>
    </row>
    <row r="28" spans="1:15" s="2" customFormat="1" x14ac:dyDescent="0.25">
      <c r="A28" s="2" t="s">
        <v>30</v>
      </c>
      <c r="G28" s="2">
        <v>40.58</v>
      </c>
      <c r="H28" s="2">
        <v>47.89</v>
      </c>
      <c r="I28" s="2">
        <v>108.1</v>
      </c>
      <c r="J28" s="2">
        <v>156.69999999999999</v>
      </c>
      <c r="K28" s="2">
        <v>145.30000000000001</v>
      </c>
      <c r="L28" s="2">
        <v>262.7</v>
      </c>
    </row>
    <row r="31" spans="1:15" x14ac:dyDescent="0.25">
      <c r="N31" t="s">
        <v>31</v>
      </c>
      <c r="O31" s="3">
        <v>-0.01</v>
      </c>
    </row>
    <row r="32" spans="1:15" x14ac:dyDescent="0.25">
      <c r="N32" t="s">
        <v>25</v>
      </c>
      <c r="O32" s="5">
        <v>0.1</v>
      </c>
    </row>
    <row r="33" spans="14:15" x14ac:dyDescent="0.25">
      <c r="N33" t="s">
        <v>26</v>
      </c>
      <c r="O33" s="6">
        <f>NPV(O32,J13:DU13)</f>
        <v>2675.5300746330786</v>
      </c>
    </row>
    <row r="34" spans="14:15" x14ac:dyDescent="0.25">
      <c r="N34" s="3" t="s">
        <v>27</v>
      </c>
      <c r="O34" s="1">
        <f>O33/I15</f>
        <v>13.832747774961632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2024-12-01T15:33:13Z</dcterms:created>
  <dcterms:modified xsi:type="dcterms:W3CDTF">2026-10-11T10:43:21Z</dcterms:modified>
</cp:coreProperties>
</file>