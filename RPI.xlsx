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eb6a9f0be765fac/Pulpit/inwestycje/modele/"/>
    </mc:Choice>
  </mc:AlternateContent>
  <xr:revisionPtr revIDLastSave="300" documentId="8_{9F476FD2-9FA6-475A-9F72-CC452AF4AAE8}" xr6:coauthVersionLast="47" xr6:coauthVersionMax="47" xr10:uidLastSave="{7B498629-8851-46FD-8F3B-C56F9F232625}"/>
  <bookViews>
    <workbookView xWindow="-105" yWindow="0" windowWidth="19410" windowHeight="20985" activeTab="1" xr2:uid="{E98EB17B-F02A-46E8-ACDF-C760F78E973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2" l="1"/>
  <c r="J13" i="2"/>
  <c r="I22" i="2"/>
  <c r="H22" i="2"/>
  <c r="G22" i="2"/>
  <c r="F22" i="2"/>
  <c r="E22" i="2"/>
  <c r="K3" i="2"/>
  <c r="J3" i="2"/>
  <c r="K2" i="1"/>
  <c r="K4" i="1" l="1"/>
  <c r="K7" i="1" s="1"/>
  <c r="I26" i="2"/>
  <c r="H26" i="2"/>
  <c r="G26" i="2"/>
  <c r="F26" i="2"/>
  <c r="E26" i="2"/>
  <c r="I10" i="2"/>
  <c r="H10" i="2"/>
  <c r="G10" i="2"/>
  <c r="I8" i="2"/>
  <c r="H8" i="2"/>
  <c r="G8" i="2"/>
  <c r="F8" i="2"/>
  <c r="E8" i="2"/>
  <c r="I5" i="2"/>
  <c r="I19" i="2" s="1"/>
  <c r="H5" i="2"/>
  <c r="H19" i="2" s="1"/>
  <c r="G5" i="2"/>
  <c r="G19" i="2" s="1"/>
  <c r="F5" i="2"/>
  <c r="F19" i="2" s="1"/>
  <c r="E5" i="2"/>
  <c r="E19" i="2" s="1"/>
  <c r="F18" i="2"/>
  <c r="G18" i="2"/>
  <c r="H18" i="2"/>
  <c r="I18" i="2"/>
  <c r="F9" i="2" l="1"/>
  <c r="H9" i="2"/>
  <c r="I9" i="2"/>
  <c r="E9" i="2"/>
  <c r="G9" i="2"/>
  <c r="G20" i="2" l="1"/>
  <c r="G11" i="2"/>
  <c r="H20" i="2"/>
  <c r="H11" i="2"/>
  <c r="E20" i="2"/>
  <c r="E11" i="2"/>
  <c r="I20" i="2"/>
  <c r="I11" i="2"/>
  <c r="F20" i="2"/>
  <c r="F11" i="2"/>
  <c r="F13" i="2" l="1"/>
  <c r="F21" i="2"/>
  <c r="I13" i="2"/>
  <c r="I21" i="2"/>
  <c r="H13" i="2"/>
  <c r="H21" i="2"/>
  <c r="E13" i="2"/>
  <c r="E21" i="2"/>
  <c r="G13" i="2"/>
  <c r="G21" i="2"/>
  <c r="I14" i="2" l="1"/>
  <c r="L13" i="2" l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AG13" i="2" s="1"/>
  <c r="AH13" i="2" s="1"/>
  <c r="AI13" i="2" s="1"/>
  <c r="AJ13" i="2" s="1"/>
  <c r="AK13" i="2" s="1"/>
  <c r="AL13" i="2" s="1"/>
  <c r="AM13" i="2" s="1"/>
  <c r="AN13" i="2" s="1"/>
  <c r="AO13" i="2" s="1"/>
  <c r="AP13" i="2" s="1"/>
  <c r="AQ13" i="2" s="1"/>
  <c r="AR13" i="2" s="1"/>
  <c r="AS13" i="2" s="1"/>
  <c r="AT13" i="2" s="1"/>
  <c r="AU13" i="2" s="1"/>
  <c r="AV13" i="2" s="1"/>
  <c r="AW13" i="2" s="1"/>
  <c r="AX13" i="2" s="1"/>
  <c r="AY13" i="2" s="1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O18" i="2" l="1"/>
  <c r="O19" i="2" s="1"/>
</calcChain>
</file>

<file path=xl/sharedStrings.xml><?xml version="1.0" encoding="utf-8"?>
<sst xmlns="http://schemas.openxmlformats.org/spreadsheetml/2006/main" count="32" uniqueCount="31">
  <si>
    <t>Price</t>
  </si>
  <si>
    <t>Shares</t>
  </si>
  <si>
    <t>MC</t>
  </si>
  <si>
    <t>Cash</t>
  </si>
  <si>
    <t>Debt</t>
  </si>
  <si>
    <t>EV</t>
  </si>
  <si>
    <t>Revenue</t>
  </si>
  <si>
    <t>Rev Y/Y</t>
  </si>
  <si>
    <t>COGS</t>
  </si>
  <si>
    <t>Gross Profit</t>
  </si>
  <si>
    <t>Gross Margin</t>
  </si>
  <si>
    <t>S&amp;A</t>
  </si>
  <si>
    <t>R&amp;D</t>
  </si>
  <si>
    <t>Operating expenses</t>
  </si>
  <si>
    <t>Operating income</t>
  </si>
  <si>
    <t>Operating Margin</t>
  </si>
  <si>
    <t>Interest</t>
  </si>
  <si>
    <t>Pretax</t>
  </si>
  <si>
    <t>Taxes</t>
  </si>
  <si>
    <t>Net Income</t>
  </si>
  <si>
    <t>EPS</t>
  </si>
  <si>
    <t>Tax rate</t>
  </si>
  <si>
    <t>CFFO</t>
  </si>
  <si>
    <t>CapEx</t>
  </si>
  <si>
    <t>FCF</t>
  </si>
  <si>
    <t>GBPUSD</t>
  </si>
  <si>
    <t>Discount rate</t>
  </si>
  <si>
    <t>NPV</t>
  </si>
  <si>
    <t>share</t>
  </si>
  <si>
    <t>Q125</t>
  </si>
  <si>
    <t>Net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</si>
</sst>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" fontId="0" fillId="0" borderId="0" xfId="0" applyNumberFormat="1"/>
    <xf numFmtId="0" fontId="1" fillId="0" borderId="0" xfId="0" applyFont="1"/>
    <xf numFmtId="10" fontId="0" fillId="0" borderId="0" xfId="0" applyNumberFormat="1"/>
    <xf numFmtId="2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</xdr:colOff>
      <xdr:row>0</xdr:row>
      <xdr:rowOff>38100</xdr:rowOff>
    </xdr:from>
    <xdr:to>
      <xdr:col>9</xdr:col>
      <xdr:colOff>28575</xdr:colOff>
      <xdr:row>57</xdr:row>
      <xdr:rowOff>0</xdr:rowOff>
    </xdr:to>
    <xdr:cxnSp macro="">
      <xdr:nvCxnSpPr>
        <xdr:cNvPr id="3" name="Łącznik prosty 2">
          <a:extLst>
            <a:ext uri="{FF2B5EF4-FFF2-40B4-BE49-F238E27FC236}">
              <a16:creationId xmlns:a16="http://schemas.microsoft.com/office/drawing/2014/main" id="{E89914A7-6A64-40E7-3F04-8D5E856CC78C}"/>
            </a:ext>
          </a:extLst>
        </xdr:cNvPr>
        <xdr:cNvCxnSpPr/>
      </xdr:nvCxnSpPr>
      <xdr:spPr>
        <a:xfrm>
          <a:off x="6124575" y="38100"/>
          <a:ext cx="19050" cy="106299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3D5B2-4C70-4AEF-9DFB-79A58BD75B45}">
  <dimension ref="J1:N7"/>
  <sheetViews>
    <sheetView workbookViewId="0">
      <selection activeCell="K2" sqref="K2"/>
    </sheetView>
  </sheetViews>
  <sheetFormatPr defaultRowHeight="15" x14ac:dyDescent="0.25"/>
  <sheetData>
    <row r="1" spans="10:14" x14ac:dyDescent="0.25">
      <c r="M1" t="s">
        <v>25</v>
      </c>
      <c r="N1">
        <v>1.2589999999999999</v>
      </c>
    </row>
    <row r="2" spans="10:14" x14ac:dyDescent="0.25">
      <c r="J2" t="s">
        <v>0</v>
      </c>
      <c r="K2" s="4">
        <f>6.02*N1</f>
        <v>7.5791799999999991</v>
      </c>
      <c r="L2" t="s">
        <v>29</v>
      </c>
    </row>
    <row r="3" spans="10:14" x14ac:dyDescent="0.25">
      <c r="J3" t="s">
        <v>1</v>
      </c>
      <c r="K3" s="1">
        <v>193.42</v>
      </c>
    </row>
    <row r="4" spans="10:14" x14ac:dyDescent="0.25">
      <c r="J4" t="s">
        <v>2</v>
      </c>
      <c r="K4" s="1">
        <f>K3*K2</f>
        <v>1465.9649955999998</v>
      </c>
    </row>
    <row r="5" spans="10:14" x14ac:dyDescent="0.25">
      <c r="J5" t="s">
        <v>3</v>
      </c>
      <c r="K5">
        <v>40.4</v>
      </c>
    </row>
    <row r="6" spans="10:14" x14ac:dyDescent="0.25">
      <c r="J6" t="s">
        <v>4</v>
      </c>
      <c r="K6">
        <v>0</v>
      </c>
    </row>
    <row r="7" spans="10:14" x14ac:dyDescent="0.25">
      <c r="J7" t="s">
        <v>5</v>
      </c>
      <c r="K7" s="1">
        <f>K4-K5+K6</f>
        <v>1425.5649955999997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DC23F-DC20-407B-BB0E-87053752C463}">
  <dimension ref="A2:DU26"/>
  <sheetViews>
    <sheetView tabSelected="1" workbookViewId="0">
      <selection activeCell="J5" sqref="J5"/>
    </sheetView>
  </sheetViews>
  <sheetFormatPr defaultRowHeight="15" x14ac:dyDescent="0.25"/>
  <cols>
    <col min="1" max="1" width="18.5703125" bestFit="1" customWidth="1"/>
    <col min="14" max="14" width="12.7109375" bestFit="1" customWidth="1"/>
    <col min="15" max="15" width="9.85546875" bestFit="1" customWidth="1"/>
  </cols>
  <sheetData>
    <row r="2" spans="1:125" x14ac:dyDescent="0.25">
      <c r="E2">
        <v>2019</v>
      </c>
      <c r="F2">
        <v>2020</v>
      </c>
      <c r="G2">
        <v>2021</v>
      </c>
      <c r="H2">
        <v>2022</v>
      </c>
      <c r="I2">
        <v>2023</v>
      </c>
      <c r="J2">
        <v>2024</v>
      </c>
      <c r="K2">
        <v>2025</v>
      </c>
      <c r="L2">
        <v>2026</v>
      </c>
      <c r="M2">
        <v>2027</v>
      </c>
      <c r="N2">
        <v>2028</v>
      </c>
      <c r="O2">
        <v>2029</v>
      </c>
      <c r="P2">
        <v>2030</v>
      </c>
    </row>
    <row r="3" spans="1:125" s="2" customFormat="1" x14ac:dyDescent="0.25">
      <c r="A3" s="2" t="s">
        <v>6</v>
      </c>
      <c r="E3" s="2">
        <v>39.61</v>
      </c>
      <c r="F3" s="2">
        <v>99.92</v>
      </c>
      <c r="G3" s="2">
        <v>140.59</v>
      </c>
      <c r="H3" s="2">
        <v>187.86</v>
      </c>
      <c r="I3" s="2">
        <v>265.8</v>
      </c>
      <c r="J3" s="2">
        <f>J5/0.244</f>
        <v>266.80327868852459</v>
      </c>
      <c r="K3" s="2">
        <f>K5/0.253</f>
        <v>305.13833992094862</v>
      </c>
    </row>
    <row r="4" spans="1:125" x14ac:dyDescent="0.25">
      <c r="A4" t="s">
        <v>8</v>
      </c>
      <c r="E4">
        <v>23.3</v>
      </c>
      <c r="F4">
        <v>69.510000000000005</v>
      </c>
      <c r="G4">
        <v>98.67</v>
      </c>
      <c r="H4">
        <v>145.58000000000001</v>
      </c>
      <c r="I4">
        <v>199.84</v>
      </c>
    </row>
    <row r="5" spans="1:125" x14ac:dyDescent="0.25">
      <c r="A5" t="s">
        <v>9</v>
      </c>
      <c r="E5">
        <f>E3-E4</f>
        <v>16.309999999999999</v>
      </c>
      <c r="F5">
        <f>F3-F4</f>
        <v>30.409999999999997</v>
      </c>
      <c r="G5">
        <f>G3-G4</f>
        <v>41.92</v>
      </c>
      <c r="H5">
        <f>H3-H4</f>
        <v>42.28</v>
      </c>
      <c r="I5">
        <f>I3-I4</f>
        <v>65.960000000000008</v>
      </c>
      <c r="J5">
        <v>65.099999999999994</v>
      </c>
      <c r="K5">
        <v>77.2</v>
      </c>
    </row>
    <row r="6" spans="1:125" x14ac:dyDescent="0.25">
      <c r="A6" t="s">
        <v>11</v>
      </c>
      <c r="E6">
        <v>11.12</v>
      </c>
      <c r="F6">
        <v>5.91</v>
      </c>
      <c r="G6">
        <v>9.86</v>
      </c>
      <c r="H6">
        <v>11.68</v>
      </c>
      <c r="I6">
        <v>17.63</v>
      </c>
    </row>
    <row r="7" spans="1:125" x14ac:dyDescent="0.25">
      <c r="A7" t="s">
        <v>12</v>
      </c>
      <c r="E7">
        <v>0</v>
      </c>
      <c r="F7">
        <v>3.84</v>
      </c>
      <c r="G7">
        <v>11.12</v>
      </c>
      <c r="H7">
        <v>9.25</v>
      </c>
      <c r="I7">
        <v>10.58</v>
      </c>
    </row>
    <row r="8" spans="1:125" x14ac:dyDescent="0.25">
      <c r="A8" t="s">
        <v>13</v>
      </c>
      <c r="E8">
        <f>SUM(E6:E7)</f>
        <v>11.12</v>
      </c>
      <c r="F8">
        <f>SUM(F6:F7)</f>
        <v>9.75</v>
      </c>
      <c r="G8">
        <f>SUM(G6:G7)</f>
        <v>20.979999999999997</v>
      </c>
      <c r="H8">
        <f>SUM(H6:H7)</f>
        <v>20.93</v>
      </c>
      <c r="I8">
        <f>SUM(I6:I7)</f>
        <v>28.21</v>
      </c>
    </row>
    <row r="9" spans="1:125" x14ac:dyDescent="0.25">
      <c r="A9" t="s">
        <v>14</v>
      </c>
      <c r="E9">
        <f>E5-E8</f>
        <v>5.1899999999999995</v>
      </c>
      <c r="F9">
        <f>F5-F8</f>
        <v>20.659999999999997</v>
      </c>
      <c r="G9">
        <f>G5-G8</f>
        <v>20.940000000000005</v>
      </c>
      <c r="H9">
        <f>H5-H8</f>
        <v>21.35</v>
      </c>
      <c r="I9">
        <f>I5-I8</f>
        <v>37.750000000000007</v>
      </c>
    </row>
    <row r="10" spans="1:125" x14ac:dyDescent="0.25">
      <c r="A10" t="s">
        <v>16</v>
      </c>
      <c r="E10">
        <v>0</v>
      </c>
      <c r="F10">
        <v>-0.13</v>
      </c>
      <c r="G10">
        <f>-0.32-0.25</f>
        <v>-0.57000000000000006</v>
      </c>
      <c r="H10">
        <f>-0.22+1.02+0.05</f>
        <v>0.85000000000000009</v>
      </c>
      <c r="I10">
        <f>-0.48+1.44-0.49</f>
        <v>0.47</v>
      </c>
    </row>
    <row r="11" spans="1:125" x14ac:dyDescent="0.25">
      <c r="A11" t="s">
        <v>17</v>
      </c>
      <c r="E11">
        <f>E9-E10</f>
        <v>5.1899999999999995</v>
      </c>
      <c r="F11">
        <f>F9-F10</f>
        <v>20.789999999999996</v>
      </c>
      <c r="G11">
        <f>G9-G10</f>
        <v>21.510000000000005</v>
      </c>
      <c r="H11">
        <f>H9-H10</f>
        <v>20.5</v>
      </c>
      <c r="I11">
        <f>I9-I10</f>
        <v>37.280000000000008</v>
      </c>
    </row>
    <row r="12" spans="1:125" x14ac:dyDescent="0.25">
      <c r="A12" t="s">
        <v>18</v>
      </c>
      <c r="E12">
        <v>0</v>
      </c>
      <c r="F12">
        <v>1.1399999999999999</v>
      </c>
      <c r="G12">
        <v>3.62</v>
      </c>
      <c r="H12">
        <v>3.02</v>
      </c>
      <c r="I12">
        <v>6.62</v>
      </c>
    </row>
    <row r="13" spans="1:125" x14ac:dyDescent="0.25">
      <c r="A13" t="s">
        <v>19</v>
      </c>
      <c r="E13">
        <f>E11-E12</f>
        <v>5.1899999999999995</v>
      </c>
      <c r="F13">
        <f>F11-F12</f>
        <v>19.649999999999995</v>
      </c>
      <c r="G13">
        <f>G11-G12</f>
        <v>17.890000000000004</v>
      </c>
      <c r="H13">
        <f>H11-H12</f>
        <v>17.48</v>
      </c>
      <c r="I13">
        <f>I11-I12</f>
        <v>30.660000000000007</v>
      </c>
      <c r="J13" s="4">
        <f>0.12*J3</f>
        <v>32.016393442622949</v>
      </c>
      <c r="K13" s="4">
        <f>0.12*K3</f>
        <v>36.616600790513836</v>
      </c>
      <c r="L13" s="4">
        <f t="shared" ref="L13:P13" si="0">K13*1.2</f>
        <v>43.939920948616603</v>
      </c>
      <c r="M13" s="4">
        <f t="shared" si="0"/>
        <v>52.727905138339921</v>
      </c>
      <c r="N13" s="4">
        <f t="shared" si="0"/>
        <v>63.273486166007899</v>
      </c>
      <c r="O13" s="4">
        <f t="shared" si="0"/>
        <v>75.928183399209473</v>
      </c>
      <c r="P13" s="4">
        <f t="shared" si="0"/>
        <v>91.113820079051365</v>
      </c>
      <c r="Q13">
        <f>P13*0.99</f>
        <v>90.202681878260847</v>
      </c>
      <c r="R13">
        <f t="shared" ref="R13:CC13" si="1">Q13*0.99</f>
        <v>89.300655059478231</v>
      </c>
      <c r="S13">
        <f t="shared" si="1"/>
        <v>88.407648508883454</v>
      </c>
      <c r="T13">
        <f t="shared" si="1"/>
        <v>87.523572023794614</v>
      </c>
      <c r="U13">
        <f t="shared" si="1"/>
        <v>86.648336303556661</v>
      </c>
      <c r="V13">
        <f t="shared" si="1"/>
        <v>85.781852940521091</v>
      </c>
      <c r="W13">
        <f t="shared" si="1"/>
        <v>84.924034411115883</v>
      </c>
      <c r="X13">
        <f t="shared" si="1"/>
        <v>84.074794067004717</v>
      </c>
      <c r="Y13">
        <f t="shared" si="1"/>
        <v>83.234046126334675</v>
      </c>
      <c r="Z13">
        <f t="shared" si="1"/>
        <v>82.401705665071333</v>
      </c>
      <c r="AA13">
        <f t="shared" si="1"/>
        <v>81.577688608420615</v>
      </c>
      <c r="AB13">
        <f t="shared" si="1"/>
        <v>80.761911722336407</v>
      </c>
      <c r="AC13">
        <f t="shared" si="1"/>
        <v>79.954292605113039</v>
      </c>
      <c r="AD13">
        <f t="shared" si="1"/>
        <v>79.154749679061908</v>
      </c>
      <c r="AE13">
        <f t="shared" si="1"/>
        <v>78.363202182271294</v>
      </c>
      <c r="AF13">
        <f t="shared" si="1"/>
        <v>77.579570160448583</v>
      </c>
      <c r="AG13">
        <f t="shared" si="1"/>
        <v>76.803774458844103</v>
      </c>
      <c r="AH13">
        <f t="shared" si="1"/>
        <v>76.035736714255663</v>
      </c>
      <c r="AI13">
        <f t="shared" si="1"/>
        <v>75.275379347113102</v>
      </c>
      <c r="AJ13">
        <f t="shared" si="1"/>
        <v>74.522625553641973</v>
      </c>
      <c r="AK13">
        <f t="shared" si="1"/>
        <v>73.77739929810555</v>
      </c>
      <c r="AL13">
        <f t="shared" si="1"/>
        <v>73.039625305124488</v>
      </c>
      <c r="AM13">
        <f t="shared" si="1"/>
        <v>72.309229052073249</v>
      </c>
      <c r="AN13">
        <f t="shared" si="1"/>
        <v>71.58613676155251</v>
      </c>
      <c r="AO13">
        <f t="shared" si="1"/>
        <v>70.870275393936979</v>
      </c>
      <c r="AP13">
        <f t="shared" si="1"/>
        <v>70.161572639997601</v>
      </c>
      <c r="AQ13">
        <f t="shared" si="1"/>
        <v>69.459956913597622</v>
      </c>
      <c r="AR13">
        <f t="shared" si="1"/>
        <v>68.765357344461648</v>
      </c>
      <c r="AS13">
        <f t="shared" si="1"/>
        <v>68.077703771017028</v>
      </c>
      <c r="AT13">
        <f t="shared" si="1"/>
        <v>67.396926733306856</v>
      </c>
      <c r="AU13">
        <f t="shared" si="1"/>
        <v>66.722957465973792</v>
      </c>
      <c r="AV13">
        <f t="shared" si="1"/>
        <v>66.055727891314049</v>
      </c>
      <c r="AW13">
        <f t="shared" si="1"/>
        <v>65.395170612400904</v>
      </c>
      <c r="AX13">
        <f t="shared" si="1"/>
        <v>64.741218906276899</v>
      </c>
      <c r="AY13">
        <f t="shared" si="1"/>
        <v>64.093806717214136</v>
      </c>
      <c r="AZ13">
        <f t="shared" si="1"/>
        <v>63.452868650041992</v>
      </c>
      <c r="BA13">
        <f t="shared" si="1"/>
        <v>62.818339963541575</v>
      </c>
      <c r="BB13">
        <f t="shared" si="1"/>
        <v>62.190156563906157</v>
      </c>
      <c r="BC13">
        <f t="shared" si="1"/>
        <v>61.568254998267093</v>
      </c>
      <c r="BD13">
        <f t="shared" si="1"/>
        <v>60.952572448284421</v>
      </c>
      <c r="BE13">
        <f t="shared" si="1"/>
        <v>60.343046723801578</v>
      </c>
      <c r="BF13">
        <f t="shared" si="1"/>
        <v>59.739616256563565</v>
      </c>
      <c r="BG13">
        <f t="shared" si="1"/>
        <v>59.142220093997928</v>
      </c>
      <c r="BH13">
        <f t="shared" si="1"/>
        <v>58.550797893057947</v>
      </c>
      <c r="BI13">
        <f t="shared" si="1"/>
        <v>57.965289914127368</v>
      </c>
      <c r="BJ13">
        <f t="shared" si="1"/>
        <v>57.385637014986095</v>
      </c>
      <c r="BK13">
        <f t="shared" si="1"/>
        <v>56.811780644836233</v>
      </c>
      <c r="BL13">
        <f t="shared" si="1"/>
        <v>56.24366283838787</v>
      </c>
      <c r="BM13">
        <f t="shared" si="1"/>
        <v>55.681226210003992</v>
      </c>
      <c r="BN13">
        <f t="shared" si="1"/>
        <v>55.124413947903953</v>
      </c>
      <c r="BO13">
        <f t="shared" si="1"/>
        <v>54.573169808424915</v>
      </c>
      <c r="BP13">
        <f t="shared" si="1"/>
        <v>54.027438110340668</v>
      </c>
      <c r="BQ13">
        <f t="shared" si="1"/>
        <v>53.48716372923726</v>
      </c>
      <c r="BR13">
        <f t="shared" si="1"/>
        <v>52.952292091944884</v>
      </c>
      <c r="BS13">
        <f t="shared" si="1"/>
        <v>52.422769171025436</v>
      </c>
      <c r="BT13">
        <f t="shared" si="1"/>
        <v>51.898541479315185</v>
      </c>
      <c r="BU13">
        <f t="shared" si="1"/>
        <v>51.379556064522035</v>
      </c>
      <c r="BV13">
        <f t="shared" si="1"/>
        <v>50.865760503876814</v>
      </c>
      <c r="BW13">
        <f t="shared" si="1"/>
        <v>50.357102898838043</v>
      </c>
      <c r="BX13">
        <f t="shared" si="1"/>
        <v>49.853531869849661</v>
      </c>
      <c r="BY13">
        <f t="shared" si="1"/>
        <v>49.354996551151167</v>
      </c>
      <c r="BZ13">
        <f t="shared" si="1"/>
        <v>48.861446585639655</v>
      </c>
      <c r="CA13">
        <f t="shared" si="1"/>
        <v>48.372832119783261</v>
      </c>
      <c r="CB13">
        <f t="shared" si="1"/>
        <v>47.889103798585431</v>
      </c>
      <c r="CC13">
        <f t="shared" si="1"/>
        <v>47.410212760599578</v>
      </c>
      <c r="CD13">
        <f t="shared" ref="CD13:DU13" si="2">CC13*0.99</f>
        <v>46.936110632993582</v>
      </c>
      <c r="CE13">
        <f t="shared" si="2"/>
        <v>46.466749526663648</v>
      </c>
      <c r="CF13">
        <f t="shared" si="2"/>
        <v>46.002082031397009</v>
      </c>
      <c r="CG13">
        <f t="shared" si="2"/>
        <v>45.542061211083038</v>
      </c>
      <c r="CH13">
        <f t="shared" si="2"/>
        <v>45.08664059897221</v>
      </c>
      <c r="CI13">
        <f t="shared" si="2"/>
        <v>44.635774192982488</v>
      </c>
      <c r="CJ13">
        <f t="shared" si="2"/>
        <v>44.189416451052665</v>
      </c>
      <c r="CK13">
        <f t="shared" si="2"/>
        <v>43.747522286542136</v>
      </c>
      <c r="CL13">
        <f t="shared" si="2"/>
        <v>43.310047063676713</v>
      </c>
      <c r="CM13">
        <f t="shared" si="2"/>
        <v>42.876946593039946</v>
      </c>
      <c r="CN13">
        <f t="shared" si="2"/>
        <v>42.448177127109545</v>
      </c>
      <c r="CO13">
        <f t="shared" si="2"/>
        <v>42.023695355838449</v>
      </c>
      <c r="CP13">
        <f t="shared" si="2"/>
        <v>41.603458402280062</v>
      </c>
      <c r="CQ13">
        <f t="shared" si="2"/>
        <v>41.187423818257258</v>
      </c>
      <c r="CR13">
        <f t="shared" si="2"/>
        <v>40.775549580074689</v>
      </c>
      <c r="CS13">
        <f t="shared" si="2"/>
        <v>40.367794084273939</v>
      </c>
      <c r="CT13">
        <f t="shared" si="2"/>
        <v>39.964116143431198</v>
      </c>
      <c r="CU13">
        <f t="shared" si="2"/>
        <v>39.564474981996888</v>
      </c>
      <c r="CV13">
        <f t="shared" si="2"/>
        <v>39.168830232176916</v>
      </c>
      <c r="CW13">
        <f t="shared" si="2"/>
        <v>38.777141929855148</v>
      </c>
      <c r="CX13">
        <f t="shared" si="2"/>
        <v>38.389370510556596</v>
      </c>
      <c r="CY13">
        <f t="shared" si="2"/>
        <v>38.005476805451032</v>
      </c>
      <c r="CZ13">
        <f t="shared" si="2"/>
        <v>37.625422037396518</v>
      </c>
      <c r="DA13">
        <f t="shared" si="2"/>
        <v>37.249167817022553</v>
      </c>
      <c r="DB13">
        <f t="shared" si="2"/>
        <v>36.876676138852325</v>
      </c>
      <c r="DC13">
        <f t="shared" si="2"/>
        <v>36.507909377463804</v>
      </c>
      <c r="DD13">
        <f t="shared" si="2"/>
        <v>36.142830283689165</v>
      </c>
      <c r="DE13">
        <f t="shared" si="2"/>
        <v>35.781401980852273</v>
      </c>
      <c r="DF13">
        <f t="shared" si="2"/>
        <v>35.423587961043751</v>
      </c>
      <c r="DG13">
        <f t="shared" si="2"/>
        <v>35.069352081433316</v>
      </c>
      <c r="DH13">
        <f t="shared" si="2"/>
        <v>34.718658560618984</v>
      </c>
      <c r="DI13">
        <f t="shared" si="2"/>
        <v>34.371471975012795</v>
      </c>
      <c r="DJ13">
        <f t="shared" si="2"/>
        <v>34.027757255262664</v>
      </c>
      <c r="DK13">
        <f t="shared" si="2"/>
        <v>33.687479682710034</v>
      </c>
      <c r="DL13">
        <f t="shared" si="2"/>
        <v>33.35060488588293</v>
      </c>
      <c r="DM13">
        <f t="shared" si="2"/>
        <v>33.017098837024101</v>
      </c>
      <c r="DN13">
        <f t="shared" si="2"/>
        <v>32.686927848653859</v>
      </c>
      <c r="DO13">
        <f t="shared" si="2"/>
        <v>32.360058570167318</v>
      </c>
      <c r="DP13">
        <f t="shared" si="2"/>
        <v>32.036457984465642</v>
      </c>
      <c r="DQ13">
        <f t="shared" si="2"/>
        <v>31.716093404620985</v>
      </c>
      <c r="DR13">
        <f t="shared" si="2"/>
        <v>31.398932470574774</v>
      </c>
      <c r="DS13">
        <f t="shared" si="2"/>
        <v>31.084943145869026</v>
      </c>
      <c r="DT13">
        <f t="shared" si="2"/>
        <v>30.774093714410334</v>
      </c>
      <c r="DU13">
        <f t="shared" si="2"/>
        <v>30.466352777266231</v>
      </c>
    </row>
    <row r="14" spans="1:125" x14ac:dyDescent="0.25">
      <c r="A14" t="s">
        <v>20</v>
      </c>
      <c r="I14" s="4">
        <f>I13/I15</f>
        <v>0.15851514838175995</v>
      </c>
      <c r="M14">
        <v>0</v>
      </c>
    </row>
    <row r="15" spans="1:125" x14ac:dyDescent="0.25">
      <c r="A15" t="s">
        <v>1</v>
      </c>
      <c r="I15" s="4">
        <v>193.42</v>
      </c>
    </row>
    <row r="17" spans="1:15" x14ac:dyDescent="0.25">
      <c r="N17" t="s">
        <v>26</v>
      </c>
      <c r="O17" s="5">
        <v>7.0000000000000007E-2</v>
      </c>
    </row>
    <row r="18" spans="1:15" x14ac:dyDescent="0.25">
      <c r="A18" t="s">
        <v>7</v>
      </c>
      <c r="F18" s="3">
        <f>F3/E3-1</f>
        <v>1.5225953042161073</v>
      </c>
      <c r="G18" s="3">
        <f>G3/F3-1</f>
        <v>0.40702562049639712</v>
      </c>
      <c r="H18" s="3">
        <f>H3/G3-1</f>
        <v>0.33622590511416184</v>
      </c>
      <c r="I18" s="3">
        <f>I3/H3-1</f>
        <v>0.41488342382625354</v>
      </c>
      <c r="J18" s="3"/>
      <c r="N18" t="s">
        <v>27</v>
      </c>
      <c r="O18" s="6">
        <f>NPV(O17,J13:DU13)</f>
        <v>992.47056565316029</v>
      </c>
    </row>
    <row r="19" spans="1:15" s="3" customFormat="1" x14ac:dyDescent="0.25">
      <c r="A19" s="3" t="s">
        <v>10</v>
      </c>
      <c r="E19" s="3">
        <f>E5/E3</f>
        <v>0.41176470588235292</v>
      </c>
      <c r="F19" s="3">
        <f>F5/F3</f>
        <v>0.30434347477982382</v>
      </c>
      <c r="G19" s="3">
        <f>G5/G3</f>
        <v>0.29817198947293549</v>
      </c>
      <c r="H19" s="3">
        <f>H5/H3</f>
        <v>0.22506121579899924</v>
      </c>
      <c r="I19" s="3">
        <f>I5/I3</f>
        <v>0.24815650865312266</v>
      </c>
      <c r="N19" s="3" t="s">
        <v>28</v>
      </c>
      <c r="O19" s="1">
        <f>O18/I15</f>
        <v>5.1311682641565524</v>
      </c>
    </row>
    <row r="20" spans="1:15" s="3" customFormat="1" x14ac:dyDescent="0.25">
      <c r="A20" s="3" t="s">
        <v>15</v>
      </c>
      <c r="E20" s="3">
        <f>E9/E3</f>
        <v>0.13102751830345871</v>
      </c>
      <c r="F20" s="3">
        <f t="shared" ref="F20:I20" si="3">F9/F3</f>
        <v>0.20676541232986384</v>
      </c>
      <c r="G20" s="3">
        <f t="shared" si="3"/>
        <v>0.14894373710790243</v>
      </c>
      <c r="H20" s="3">
        <f t="shared" si="3"/>
        <v>0.11364846162035558</v>
      </c>
      <c r="I20" s="3">
        <f t="shared" si="3"/>
        <v>0.14202407825432659</v>
      </c>
    </row>
    <row r="21" spans="1:15" x14ac:dyDescent="0.25">
      <c r="A21" t="s">
        <v>21</v>
      </c>
      <c r="E21" s="3">
        <f>E12/E11</f>
        <v>0</v>
      </c>
      <c r="F21" s="3">
        <f>F12/F11</f>
        <v>5.4834054834054839E-2</v>
      </c>
      <c r="G21" s="3">
        <f>G12/G11</f>
        <v>0.16829381682938166</v>
      </c>
      <c r="H21" s="3">
        <f>H12/H11</f>
        <v>0.1473170731707317</v>
      </c>
      <c r="I21" s="3">
        <f>I12/I11</f>
        <v>0.17757510729613729</v>
      </c>
    </row>
    <row r="22" spans="1:15" x14ac:dyDescent="0.25">
      <c r="A22" t="s">
        <v>30</v>
      </c>
      <c r="E22" s="3">
        <f>E13/E3</f>
        <v>0.13102751830345871</v>
      </c>
      <c r="F22" s="3">
        <f>F13/F3</f>
        <v>0.19665732586068849</v>
      </c>
      <c r="G22" s="3">
        <f>G13/G3</f>
        <v>0.12724944875168934</v>
      </c>
      <c r="H22" s="3">
        <f>H13/H3</f>
        <v>9.3048014478867236E-2</v>
      </c>
      <c r="I22" s="3">
        <f>I13/I3</f>
        <v>0.11534988713318287</v>
      </c>
    </row>
    <row r="24" spans="1:15" x14ac:dyDescent="0.25">
      <c r="A24" t="s">
        <v>22</v>
      </c>
      <c r="E24">
        <v>9.18</v>
      </c>
      <c r="F24">
        <v>10.99</v>
      </c>
      <c r="G24">
        <v>0.51</v>
      </c>
      <c r="H24">
        <v>14.34</v>
      </c>
      <c r="I24">
        <v>16.489999999999998</v>
      </c>
    </row>
    <row r="25" spans="1:15" x14ac:dyDescent="0.25">
      <c r="A25" t="s">
        <v>23</v>
      </c>
      <c r="E25">
        <v>-0.74</v>
      </c>
      <c r="F25">
        <v>-1.8</v>
      </c>
      <c r="G25">
        <v>-2.8</v>
      </c>
      <c r="H25">
        <v>-2.14</v>
      </c>
      <c r="I25">
        <v>-3.88</v>
      </c>
    </row>
    <row r="26" spans="1:15" x14ac:dyDescent="0.25">
      <c r="A26" t="s">
        <v>24</v>
      </c>
      <c r="E26">
        <f>SUM(E24:E25)</f>
        <v>8.44</v>
      </c>
      <c r="F26">
        <f>SUM(F24:F25)</f>
        <v>9.19</v>
      </c>
      <c r="G26">
        <f>SUM(G24:G25)</f>
        <v>-2.29</v>
      </c>
      <c r="H26">
        <f>SUM(H24:H25)</f>
        <v>12.2</v>
      </c>
      <c r="I26">
        <f>SUM(I24:I25)</f>
        <v>12.61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Szewczyk</dc:creator>
  <cp:lastModifiedBy>Sebastian Szewczyk</cp:lastModifiedBy>
  <dcterms:created xsi:type="dcterms:W3CDTF">2024-12-01T15:33:13Z</dcterms:created>
  <dcterms:modified xsi:type="dcterms:W3CDTF">2025-02-28T11:23:04Z</dcterms:modified>
</cp:coreProperties>
</file>