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867A8218-93A1-4651-AB29-3EBF3957BB19}" xr6:coauthVersionLast="47" xr6:coauthVersionMax="47" xr10:uidLastSave="{00000000-0000-0000-0000-000000000000}"/>
  <bookViews>
    <workbookView xWindow="2085" yWindow="2010" windowWidth="28815" windowHeight="16830" activeTab="1" xr2:uid="{605BC9F4-5436-4082-9BF9-F0067EF1EC5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87" i="2" l="1"/>
  <c r="F18" i="2"/>
  <c r="F19" i="2"/>
  <c r="AJ18" i="2"/>
  <c r="AR114" i="2"/>
  <c r="AQ113" i="2"/>
  <c r="AQ71" i="2"/>
  <c r="AQ68" i="2"/>
  <c r="AQ67" i="2"/>
  <c r="AQ73" i="2"/>
  <c r="AQ51" i="2"/>
  <c r="AQ59" i="2"/>
  <c r="AQ61" i="2"/>
  <c r="AR105" i="2"/>
  <c r="AQ103" i="2"/>
  <c r="AS111" i="2"/>
  <c r="AR110" i="2"/>
  <c r="AS109" i="2"/>
  <c r="AR61" i="2"/>
  <c r="AR59" i="2"/>
  <c r="AR53" i="2"/>
  <c r="AR51" i="2"/>
  <c r="AR50" i="2"/>
  <c r="AQ50" i="2"/>
  <c r="AP50" i="2"/>
  <c r="AR48" i="2"/>
  <c r="AQ48" i="2"/>
  <c r="AP48" i="2"/>
  <c r="AR47" i="2"/>
  <c r="AQ47" i="2"/>
  <c r="AP47" i="2"/>
  <c r="AR46" i="2"/>
  <c r="AQ46" i="2"/>
  <c r="AP46" i="2"/>
  <c r="AR45" i="2"/>
  <c r="AQ45" i="2"/>
  <c r="AP45" i="2"/>
  <c r="AR44" i="2"/>
  <c r="AQ44" i="2"/>
  <c r="AP44" i="2"/>
  <c r="AR43" i="2"/>
  <c r="AQ43" i="2"/>
  <c r="AP43" i="2"/>
  <c r="AR41" i="2"/>
  <c r="AQ41" i="2"/>
  <c r="AR40" i="2"/>
  <c r="AQ40" i="2"/>
  <c r="AR39" i="2"/>
  <c r="AQ39" i="2"/>
  <c r="AR37" i="2"/>
  <c r="AQ37" i="2"/>
  <c r="AP20" i="2"/>
  <c r="AP19" i="2"/>
  <c r="AP18" i="2"/>
  <c r="AO35" i="2"/>
  <c r="AN26" i="2"/>
  <c r="AN27" i="2" s="1"/>
  <c r="AN29" i="2" s="1"/>
  <c r="AN31" i="2" s="1"/>
  <c r="AN22" i="2"/>
  <c r="AU114" i="2"/>
  <c r="AT114" i="2"/>
  <c r="AT113" i="2"/>
  <c r="AS113" i="2"/>
  <c r="AR113" i="2"/>
  <c r="AS114" i="2" s="1"/>
  <c r="AV111" i="2"/>
  <c r="AU111" i="2"/>
  <c r="AT111" i="2"/>
  <c r="AS110" i="2"/>
  <c r="AT109" i="2"/>
  <c r="AT106" i="2"/>
  <c r="AS106" i="2"/>
  <c r="AR106" i="2"/>
  <c r="AT105" i="2"/>
  <c r="AS105" i="2"/>
  <c r="AS103" i="2"/>
  <c r="AR103" i="2"/>
  <c r="AS97" i="2"/>
  <c r="AS93" i="2"/>
  <c r="AR93" i="2"/>
  <c r="AQ93" i="2"/>
  <c r="AS99" i="2"/>
  <c r="AS101" i="2" s="1"/>
  <c r="AR99" i="2"/>
  <c r="AR101" i="2" s="1"/>
  <c r="AQ99" i="2"/>
  <c r="AQ101" i="2" s="1"/>
  <c r="AS88" i="2"/>
  <c r="AS91" i="2" s="1"/>
  <c r="AR88" i="2"/>
  <c r="AR91" i="2"/>
  <c r="AQ91" i="2"/>
  <c r="AQ88" i="2"/>
  <c r="AS85" i="2"/>
  <c r="AR85" i="2"/>
  <c r="AS83" i="2"/>
  <c r="AR83" i="2"/>
  <c r="AS84" i="2"/>
  <c r="AR84" i="2"/>
  <c r="AQ84" i="2"/>
  <c r="AQ83" i="2"/>
  <c r="AS79" i="2"/>
  <c r="AR79" i="2"/>
  <c r="AQ79" i="2"/>
  <c r="AQ75" i="2"/>
  <c r="AR20" i="2"/>
  <c r="AQ20" i="2"/>
  <c r="AS20" i="2"/>
  <c r="AS48" i="2"/>
  <c r="AS47" i="2"/>
  <c r="AS45" i="2"/>
  <c r="AS44" i="2"/>
  <c r="AS41" i="2"/>
  <c r="AS40" i="2"/>
  <c r="AS39" i="2"/>
  <c r="AS37" i="2"/>
  <c r="AT48" i="2"/>
  <c r="AT47" i="2"/>
  <c r="AT46" i="2"/>
  <c r="AT45" i="2"/>
  <c r="AT44" i="2"/>
  <c r="AT43" i="2"/>
  <c r="AT41" i="2"/>
  <c r="AT40" i="2"/>
  <c r="AT39" i="2"/>
  <c r="AT37" i="2"/>
  <c r="AS71" i="2"/>
  <c r="AS67" i="2"/>
  <c r="AR68" i="2"/>
  <c r="AR67" i="2"/>
  <c r="AR73" i="2" s="1"/>
  <c r="AS73" i="2"/>
  <c r="AS68" i="2"/>
  <c r="AS52" i="2"/>
  <c r="AS59" i="2"/>
  <c r="AS61" i="2"/>
  <c r="AS51" i="2"/>
  <c r="AS50" i="2"/>
  <c r="AS19" i="2"/>
  <c r="AS22" i="2" s="1"/>
  <c r="AS43" i="2" s="1"/>
  <c r="AR19" i="2"/>
  <c r="AQ19" i="2"/>
  <c r="AQ35" i="2" s="1"/>
  <c r="AR18" i="2"/>
  <c r="AQ18" i="2"/>
  <c r="AS26" i="2"/>
  <c r="AR26" i="2"/>
  <c r="AQ26" i="2"/>
  <c r="AP26" i="2"/>
  <c r="AO26" i="2"/>
  <c r="AO27" i="2" s="1"/>
  <c r="AO29" i="2" s="1"/>
  <c r="AO31" i="2" s="1"/>
  <c r="AR22" i="2"/>
  <c r="AQ22" i="2"/>
  <c r="AP22" i="2"/>
  <c r="AO22" i="2"/>
  <c r="AR35" i="2"/>
  <c r="AP35" i="2"/>
  <c r="AU109" i="2"/>
  <c r="AV109" i="2"/>
  <c r="AT71" i="2"/>
  <c r="AT69" i="2"/>
  <c r="AT68" i="2"/>
  <c r="AT67" i="2"/>
  <c r="AT73" i="2" s="1"/>
  <c r="AT59" i="2"/>
  <c r="AT52" i="2"/>
  <c r="AT51" i="2"/>
  <c r="AT61" i="2" s="1"/>
  <c r="AS18" i="2"/>
  <c r="AT33" i="2"/>
  <c r="AU106" i="2"/>
  <c r="AT97" i="2"/>
  <c r="AT93" i="2"/>
  <c r="AT99" i="2" s="1"/>
  <c r="AT88" i="2"/>
  <c r="AT91" i="2"/>
  <c r="AT79" i="2"/>
  <c r="AT84" i="2" s="1"/>
  <c r="AT103" i="2" s="1"/>
  <c r="AT83" i="2"/>
  <c r="AV41" i="2"/>
  <c r="AU41" i="2"/>
  <c r="AV40" i="2"/>
  <c r="AU40" i="2"/>
  <c r="AV37" i="2"/>
  <c r="AU37" i="2"/>
  <c r="AU48" i="2"/>
  <c r="AT26" i="2"/>
  <c r="AT20" i="2"/>
  <c r="AU71" i="2"/>
  <c r="AU73" i="2" s="1"/>
  <c r="AU69" i="2"/>
  <c r="AU68" i="2"/>
  <c r="AU67" i="2"/>
  <c r="AU55" i="2"/>
  <c r="AU59" i="2"/>
  <c r="AU113" i="2" s="1"/>
  <c r="AU51" i="2"/>
  <c r="AU50" i="2" s="1"/>
  <c r="AT18" i="2"/>
  <c r="AT19" i="2" s="1"/>
  <c r="AS35" i="2"/>
  <c r="AW109" i="2"/>
  <c r="AX109" i="2"/>
  <c r="AU97" i="2"/>
  <c r="AU93" i="2"/>
  <c r="AU99" i="2" s="1"/>
  <c r="AU88" i="2"/>
  <c r="AU91" i="2" s="1"/>
  <c r="AU83" i="2"/>
  <c r="AU82" i="2"/>
  <c r="AU79" i="2"/>
  <c r="AU84" i="2" s="1"/>
  <c r="AU103" i="2" s="1"/>
  <c r="AU26" i="2"/>
  <c r="AV71" i="2"/>
  <c r="AV69" i="2"/>
  <c r="AV68" i="2"/>
  <c r="AV67" i="2"/>
  <c r="AV59" i="2"/>
  <c r="AV113" i="2" s="1"/>
  <c r="AV53" i="2"/>
  <c r="AV52" i="2"/>
  <c r="AV51" i="2"/>
  <c r="AV61" i="2"/>
  <c r="AU18" i="2"/>
  <c r="AU19" i="2" s="1"/>
  <c r="AU45" i="2" s="1"/>
  <c r="AY109" i="2"/>
  <c r="AV33" i="2"/>
  <c r="AV97" i="2"/>
  <c r="AV93" i="2"/>
  <c r="AV99" i="2" s="1"/>
  <c r="AV87" i="2"/>
  <c r="AV106" i="2" s="1"/>
  <c r="AV89" i="2"/>
  <c r="AV88" i="2"/>
  <c r="AV83" i="2"/>
  <c r="AV82" i="2"/>
  <c r="AV80" i="2"/>
  <c r="AV84" i="2" s="1"/>
  <c r="AV26" i="2"/>
  <c r="AW71" i="2"/>
  <c r="AW67" i="2"/>
  <c r="AW69" i="2"/>
  <c r="AW68" i="2"/>
  <c r="AW73" i="2" s="1"/>
  <c r="AW59" i="2"/>
  <c r="AW113" i="2" s="1"/>
  <c r="AW52" i="2"/>
  <c r="AW51" i="2"/>
  <c r="AW61" i="2" s="1"/>
  <c r="AW41" i="2"/>
  <c r="AW40" i="2"/>
  <c r="AW37" i="2"/>
  <c r="AV18" i="2"/>
  <c r="AV19" i="2" s="1"/>
  <c r="AV44" i="2" s="1"/>
  <c r="AX113" i="2"/>
  <c r="AZ109" i="2"/>
  <c r="AW33" i="2"/>
  <c r="AW97" i="2"/>
  <c r="AW99" i="2"/>
  <c r="AW89" i="2"/>
  <c r="AW87" i="2"/>
  <c r="AW88" i="2"/>
  <c r="AW83" i="2"/>
  <c r="AW82" i="2"/>
  <c r="AW84" i="2" s="1"/>
  <c r="AX67" i="2"/>
  <c r="AX68" i="2"/>
  <c r="AX71" i="2"/>
  <c r="AX69" i="2"/>
  <c r="AX59" i="2"/>
  <c r="AX52" i="2"/>
  <c r="AX51" i="2"/>
  <c r="AX61" i="2" s="1"/>
  <c r="AX50" i="2"/>
  <c r="AW20" i="2"/>
  <c r="AX41" i="2"/>
  <c r="AX40" i="2"/>
  <c r="AX37" i="2"/>
  <c r="AW18" i="2"/>
  <c r="AW19" i="2" s="1"/>
  <c r="AW48" i="2" s="1"/>
  <c r="BA109" i="2"/>
  <c r="AX97" i="2"/>
  <c r="AX93" i="2"/>
  <c r="AX99" i="2" s="1"/>
  <c r="AX88" i="2"/>
  <c r="AX87" i="2"/>
  <c r="AX91" i="2" s="1"/>
  <c r="AX83" i="2"/>
  <c r="AX84" i="2" s="1"/>
  <c r="AX103" i="2" s="1"/>
  <c r="AY67" i="2"/>
  <c r="AY68" i="2"/>
  <c r="AY59" i="2"/>
  <c r="AY113" i="2" s="1"/>
  <c r="AY51" i="2"/>
  <c r="AX20" i="2"/>
  <c r="AY41" i="2"/>
  <c r="AY40" i="2"/>
  <c r="AY37" i="2"/>
  <c r="AX18" i="2"/>
  <c r="AZ41" i="2"/>
  <c r="AZ40" i="2"/>
  <c r="AZ37" i="2"/>
  <c r="AZ33" i="2"/>
  <c r="AY33" i="2"/>
  <c r="BA97" i="2"/>
  <c r="BA99" i="2" s="1"/>
  <c r="AZ97" i="2"/>
  <c r="AZ99" i="2" s="1"/>
  <c r="AY97" i="2"/>
  <c r="AY99" i="2" s="1"/>
  <c r="BA88" i="2"/>
  <c r="AZ88" i="2"/>
  <c r="AY88" i="2"/>
  <c r="BA87" i="2"/>
  <c r="AZ87" i="2"/>
  <c r="AY87" i="2"/>
  <c r="BA83" i="2"/>
  <c r="BA84" i="2" s="1"/>
  <c r="AZ83" i="2"/>
  <c r="AZ84" i="2" s="1"/>
  <c r="AY83" i="2"/>
  <c r="AY84" i="2" s="1"/>
  <c r="AZ68" i="2"/>
  <c r="AZ67" i="2"/>
  <c r="AZ73" i="2" s="1"/>
  <c r="AZ59" i="2"/>
  <c r="AZ113" i="2" s="1"/>
  <c r="AZ51" i="2"/>
  <c r="AZ61" i="2" s="1"/>
  <c r="AZ20" i="2"/>
  <c r="AY20" i="2"/>
  <c r="AY18" i="2"/>
  <c r="AY19" i="2" s="1"/>
  <c r="AY48" i="2" s="1"/>
  <c r="BF21" i="2"/>
  <c r="BG21" i="2"/>
  <c r="BH21" i="2"/>
  <c r="BA41" i="2"/>
  <c r="BA40" i="2"/>
  <c r="BH9" i="2"/>
  <c r="BH8" i="2"/>
  <c r="BH7" i="2"/>
  <c r="BH4" i="2"/>
  <c r="BA72" i="2"/>
  <c r="BA71" i="2"/>
  <c r="BA70" i="2"/>
  <c r="BA69" i="2"/>
  <c r="BA66" i="2"/>
  <c r="BA65" i="2"/>
  <c r="BA64" i="2"/>
  <c r="BA63" i="2"/>
  <c r="BA60" i="2"/>
  <c r="BA58" i="2"/>
  <c r="BA57" i="2"/>
  <c r="BA56" i="2"/>
  <c r="BA55" i="2"/>
  <c r="BA54" i="2"/>
  <c r="BA53" i="2"/>
  <c r="BA52" i="2"/>
  <c r="BA30" i="2"/>
  <c r="BA21" i="2"/>
  <c r="BB108" i="2"/>
  <c r="BB109" i="2" s="1"/>
  <c r="BB95" i="2"/>
  <c r="BB72" i="2"/>
  <c r="BB71" i="2"/>
  <c r="BB70" i="2"/>
  <c r="BB69" i="2"/>
  <c r="BB66" i="2"/>
  <c r="BB65" i="2"/>
  <c r="BB64" i="2"/>
  <c r="BB63" i="2"/>
  <c r="BB60" i="2"/>
  <c r="BB58" i="2"/>
  <c r="BB57" i="2"/>
  <c r="BB56" i="2"/>
  <c r="BB55" i="2"/>
  <c r="BB54" i="2"/>
  <c r="BB53" i="2"/>
  <c r="BB52" i="2"/>
  <c r="BC108" i="2"/>
  <c r="BC96" i="2"/>
  <c r="BC95" i="2"/>
  <c r="BC72" i="2"/>
  <c r="BC71" i="2"/>
  <c r="BC70" i="2"/>
  <c r="BC69" i="2"/>
  <c r="BC66" i="2"/>
  <c r="BC65" i="2"/>
  <c r="BC64" i="2"/>
  <c r="BC63" i="2"/>
  <c r="BC60" i="2"/>
  <c r="BC58" i="2"/>
  <c r="BC57" i="2"/>
  <c r="BC56" i="2"/>
  <c r="BC55" i="2"/>
  <c r="BC54" i="2"/>
  <c r="BC53" i="2"/>
  <c r="BC52" i="2"/>
  <c r="BE120" i="2"/>
  <c r="BE117" i="2"/>
  <c r="BD108" i="2"/>
  <c r="BH108" i="2"/>
  <c r="BH98" i="2"/>
  <c r="BH100" i="2"/>
  <c r="BH96" i="2"/>
  <c r="BH95" i="2"/>
  <c r="BH94" i="2"/>
  <c r="BH93" i="2"/>
  <c r="BH90" i="2"/>
  <c r="BH89" i="2"/>
  <c r="BH82" i="2"/>
  <c r="BH81" i="2"/>
  <c r="BH80" i="2"/>
  <c r="BH79" i="2"/>
  <c r="BH78" i="2"/>
  <c r="BH77" i="2"/>
  <c r="BH76" i="2"/>
  <c r="BH72" i="2"/>
  <c r="BH71" i="2"/>
  <c r="BH70" i="2"/>
  <c r="BH69" i="2"/>
  <c r="BH68" i="2"/>
  <c r="BH67" i="2"/>
  <c r="BH66" i="2"/>
  <c r="BH65" i="2"/>
  <c r="BH64" i="2"/>
  <c r="BH63" i="2"/>
  <c r="BH60" i="2"/>
  <c r="BH59" i="2"/>
  <c r="BH58" i="2"/>
  <c r="BH57" i="2"/>
  <c r="BH56" i="2"/>
  <c r="BH55" i="2"/>
  <c r="BH54" i="2"/>
  <c r="BH53" i="2"/>
  <c r="BH52" i="2"/>
  <c r="BD96" i="2"/>
  <c r="BD95" i="2"/>
  <c r="BD87" i="2"/>
  <c r="BD72" i="2"/>
  <c r="BD71" i="2"/>
  <c r="BD70" i="2"/>
  <c r="BD69" i="2"/>
  <c r="BD66" i="2"/>
  <c r="BD65" i="2"/>
  <c r="BD64" i="2"/>
  <c r="BD63" i="2"/>
  <c r="BD60" i="2"/>
  <c r="BD58" i="2"/>
  <c r="BD57" i="2"/>
  <c r="BD56" i="2"/>
  <c r="BD55" i="2"/>
  <c r="BD54" i="2"/>
  <c r="BD53" i="2"/>
  <c r="BD52" i="2"/>
  <c r="BH17" i="2"/>
  <c r="BH16" i="2"/>
  <c r="BH15" i="2"/>
  <c r="BH14" i="2"/>
  <c r="BH13" i="2"/>
  <c r="BH12" i="2"/>
  <c r="BH11" i="2"/>
  <c r="BE30" i="2"/>
  <c r="BE28" i="2"/>
  <c r="BE25" i="2"/>
  <c r="BE24" i="2"/>
  <c r="BE23" i="2"/>
  <c r="BE21" i="2"/>
  <c r="BE17" i="2"/>
  <c r="BE16" i="2"/>
  <c r="BE15" i="2"/>
  <c r="BE14" i="2"/>
  <c r="BE13" i="2"/>
  <c r="BE12" i="2"/>
  <c r="BE11" i="2"/>
  <c r="BE9" i="2"/>
  <c r="BE8" i="2"/>
  <c r="BE7" i="2"/>
  <c r="BE4" i="2"/>
  <c r="BD30" i="2"/>
  <c r="BD28" i="2"/>
  <c r="BD25" i="2"/>
  <c r="BD24" i="2"/>
  <c r="BD23" i="2"/>
  <c r="BD21" i="2"/>
  <c r="BD17" i="2"/>
  <c r="BD16" i="2"/>
  <c r="BD15" i="2"/>
  <c r="BD14" i="2"/>
  <c r="BD13" i="2"/>
  <c r="BD12" i="2"/>
  <c r="BD11" i="2"/>
  <c r="BD9" i="2"/>
  <c r="BD8" i="2"/>
  <c r="BD7" i="2"/>
  <c r="BD4" i="2"/>
  <c r="BC30" i="2"/>
  <c r="BC25" i="2"/>
  <c r="BC24" i="2"/>
  <c r="BC23" i="2"/>
  <c r="BC21" i="2"/>
  <c r="BC17" i="2"/>
  <c r="BC16" i="2"/>
  <c r="BC15" i="2"/>
  <c r="BC14" i="2"/>
  <c r="BC13" i="2"/>
  <c r="BC12" i="2"/>
  <c r="BC11" i="2"/>
  <c r="BC9" i="2"/>
  <c r="BC8" i="2"/>
  <c r="BC7" i="2"/>
  <c r="BC4" i="2"/>
  <c r="BB30" i="2"/>
  <c r="BB25" i="2"/>
  <c r="BB24" i="2"/>
  <c r="BB23" i="2"/>
  <c r="BB21" i="2"/>
  <c r="BB17" i="2"/>
  <c r="BB16" i="2"/>
  <c r="BB15" i="2"/>
  <c r="BB14" i="2"/>
  <c r="BB41" i="2" s="1"/>
  <c r="BB13" i="2"/>
  <c r="BB12" i="2"/>
  <c r="BB11" i="2"/>
  <c r="BB9" i="2"/>
  <c r="BB8" i="2"/>
  <c r="BB7" i="2"/>
  <c r="BB4" i="2"/>
  <c r="J28" i="2"/>
  <c r="F28" i="2"/>
  <c r="J106" i="2"/>
  <c r="F99" i="2"/>
  <c r="F88" i="2"/>
  <c r="F91" i="2" s="1"/>
  <c r="N106" i="2"/>
  <c r="K106" i="2"/>
  <c r="J99" i="2"/>
  <c r="J88" i="2"/>
  <c r="J91" i="2" s="1"/>
  <c r="J83" i="2"/>
  <c r="J84" i="2" s="1"/>
  <c r="J103" i="2" s="1"/>
  <c r="F83" i="2"/>
  <c r="F84" i="2" s="1"/>
  <c r="F103" i="2" s="1"/>
  <c r="F26" i="2"/>
  <c r="F20" i="2"/>
  <c r="F67" i="2"/>
  <c r="BA67" i="2" s="1"/>
  <c r="F68" i="2"/>
  <c r="BA68" i="2" s="1"/>
  <c r="J67" i="2"/>
  <c r="BB67" i="2" s="1"/>
  <c r="J68" i="2"/>
  <c r="F59" i="2"/>
  <c r="F113" i="2" s="1"/>
  <c r="F51" i="2"/>
  <c r="F61" i="2" s="1"/>
  <c r="J59" i="2"/>
  <c r="BB59" i="2" s="1"/>
  <c r="J51" i="2"/>
  <c r="BB51" i="2" s="1"/>
  <c r="J42" i="2"/>
  <c r="J41" i="2"/>
  <c r="I41" i="2"/>
  <c r="H41" i="2"/>
  <c r="G41" i="2"/>
  <c r="J40" i="2"/>
  <c r="I40" i="2"/>
  <c r="H40" i="2"/>
  <c r="G40" i="2"/>
  <c r="J38" i="2"/>
  <c r="J37" i="2"/>
  <c r="I37" i="2"/>
  <c r="H37" i="2"/>
  <c r="F45" i="2"/>
  <c r="E20" i="2"/>
  <c r="I33" i="2"/>
  <c r="E33" i="2"/>
  <c r="E28" i="2"/>
  <c r="I20" i="2"/>
  <c r="E98" i="2"/>
  <c r="E26" i="2"/>
  <c r="E18" i="2"/>
  <c r="E19" i="2" s="1"/>
  <c r="I67" i="2"/>
  <c r="I68" i="2"/>
  <c r="I51" i="2"/>
  <c r="I50" i="2" s="1"/>
  <c r="I59" i="2"/>
  <c r="I113" i="2" s="1"/>
  <c r="N42" i="2"/>
  <c r="M42" i="2"/>
  <c r="L42" i="2"/>
  <c r="K42" i="2"/>
  <c r="N41" i="2"/>
  <c r="M41" i="2"/>
  <c r="L41" i="2"/>
  <c r="K41" i="2"/>
  <c r="N40" i="2"/>
  <c r="M40" i="2"/>
  <c r="L40" i="2"/>
  <c r="K40" i="2"/>
  <c r="N38" i="2"/>
  <c r="M38" i="2"/>
  <c r="L38" i="2"/>
  <c r="K38" i="2"/>
  <c r="N37" i="2"/>
  <c r="M37" i="2"/>
  <c r="L37" i="2"/>
  <c r="K37" i="2"/>
  <c r="D100" i="2"/>
  <c r="E100" i="2" s="1"/>
  <c r="D94" i="2"/>
  <c r="E94" i="2" s="1"/>
  <c r="D93" i="2"/>
  <c r="D90" i="2"/>
  <c r="E90" i="2" s="1"/>
  <c r="D89" i="2"/>
  <c r="E89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C20" i="2"/>
  <c r="D20" i="2"/>
  <c r="H33" i="2"/>
  <c r="D33" i="2"/>
  <c r="H28" i="2"/>
  <c r="D28" i="2"/>
  <c r="H100" i="2"/>
  <c r="I100" i="2" s="1"/>
  <c r="H98" i="2"/>
  <c r="I98" i="2" s="1"/>
  <c r="H94" i="2"/>
  <c r="I94" i="2" s="1"/>
  <c r="H93" i="2"/>
  <c r="H90" i="2"/>
  <c r="I90" i="2" s="1"/>
  <c r="H89" i="2"/>
  <c r="I89" i="2" s="1"/>
  <c r="H87" i="2"/>
  <c r="I87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68" i="2"/>
  <c r="H67" i="2"/>
  <c r="H73" i="2" s="1"/>
  <c r="H59" i="2"/>
  <c r="H113" i="2" s="1"/>
  <c r="H51" i="2"/>
  <c r="D26" i="2"/>
  <c r="D18" i="2"/>
  <c r="D19" i="2" s="1"/>
  <c r="D47" i="2" s="1"/>
  <c r="G33" i="2"/>
  <c r="C33" i="2"/>
  <c r="G28" i="2"/>
  <c r="C28" i="2"/>
  <c r="C88" i="2"/>
  <c r="D88" i="2" s="1"/>
  <c r="E88" i="2" s="1"/>
  <c r="C87" i="2"/>
  <c r="D87" i="2" s="1"/>
  <c r="C83" i="2"/>
  <c r="C84" i="2" s="1"/>
  <c r="G20" i="2"/>
  <c r="H20" i="2"/>
  <c r="C17" i="2"/>
  <c r="G37" i="2" s="1"/>
  <c r="C97" i="2"/>
  <c r="C99" i="2" s="1"/>
  <c r="C26" i="2"/>
  <c r="C18" i="2"/>
  <c r="G68" i="2"/>
  <c r="G67" i="2"/>
  <c r="G59" i="2"/>
  <c r="G51" i="2"/>
  <c r="G50" i="2" s="1"/>
  <c r="V106" i="2"/>
  <c r="U106" i="2"/>
  <c r="T106" i="2"/>
  <c r="S106" i="2"/>
  <c r="R106" i="2"/>
  <c r="O106" i="2"/>
  <c r="N99" i="2"/>
  <c r="N88" i="2"/>
  <c r="N91" i="2" s="1"/>
  <c r="N83" i="2"/>
  <c r="N68" i="2"/>
  <c r="BC68" i="2" s="1"/>
  <c r="N67" i="2"/>
  <c r="BC67" i="2" s="1"/>
  <c r="N51" i="2"/>
  <c r="BC51" i="2" s="1"/>
  <c r="N59" i="2"/>
  <c r="N113" i="2" s="1"/>
  <c r="J26" i="2"/>
  <c r="J20" i="2"/>
  <c r="K20" i="2"/>
  <c r="L20" i="2"/>
  <c r="M20" i="2"/>
  <c r="N20" i="2"/>
  <c r="I28" i="2"/>
  <c r="M28" i="2"/>
  <c r="I26" i="2"/>
  <c r="M68" i="2"/>
  <c r="M67" i="2"/>
  <c r="M59" i="2"/>
  <c r="M113" i="2" s="1"/>
  <c r="M51" i="2"/>
  <c r="M50" i="2" s="1"/>
  <c r="H26" i="2"/>
  <c r="L100" i="2"/>
  <c r="M100" i="2" s="1"/>
  <c r="L98" i="2"/>
  <c r="M98" i="2" s="1"/>
  <c r="L94" i="2"/>
  <c r="M94" i="2" s="1"/>
  <c r="L93" i="2"/>
  <c r="L90" i="2"/>
  <c r="M90" i="2" s="1"/>
  <c r="L89" i="2"/>
  <c r="M89" i="2" s="1"/>
  <c r="L87" i="2"/>
  <c r="P106" i="2" s="1"/>
  <c r="L82" i="2"/>
  <c r="M82" i="2" s="1"/>
  <c r="N82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7" i="2"/>
  <c r="M77" i="2" s="1"/>
  <c r="N77" i="2" s="1"/>
  <c r="L76" i="2"/>
  <c r="L68" i="2"/>
  <c r="L67" i="2"/>
  <c r="L59" i="2"/>
  <c r="L113" i="2" s="1"/>
  <c r="L51" i="2"/>
  <c r="L50" i="2" s="1"/>
  <c r="K28" i="2"/>
  <c r="R97" i="2"/>
  <c r="R99" i="2" s="1"/>
  <c r="R88" i="2"/>
  <c r="R91" i="2" s="1"/>
  <c r="R83" i="2"/>
  <c r="R20" i="2"/>
  <c r="Q20" i="2"/>
  <c r="P20" i="2"/>
  <c r="O20" i="2"/>
  <c r="O22" i="2" s="1"/>
  <c r="O45" i="2"/>
  <c r="R41" i="2"/>
  <c r="Q41" i="2"/>
  <c r="P41" i="2"/>
  <c r="O41" i="2"/>
  <c r="R40" i="2"/>
  <c r="Q40" i="2"/>
  <c r="P40" i="2"/>
  <c r="O40" i="2"/>
  <c r="Q68" i="2"/>
  <c r="Q67" i="2"/>
  <c r="Q59" i="2"/>
  <c r="Q113" i="2" s="1"/>
  <c r="Q51" i="2"/>
  <c r="Q50" i="2" s="1"/>
  <c r="P100" i="2"/>
  <c r="Q100" i="2" s="1"/>
  <c r="P98" i="2"/>
  <c r="Q98" i="2" s="1"/>
  <c r="P94" i="2"/>
  <c r="Q94" i="2" s="1"/>
  <c r="P93" i="2"/>
  <c r="Q93" i="2" s="1"/>
  <c r="P90" i="2"/>
  <c r="Q90" i="2" s="1"/>
  <c r="P89" i="2"/>
  <c r="Q89" i="2" s="1"/>
  <c r="P82" i="2"/>
  <c r="Q82" i="2" s="1"/>
  <c r="P81" i="2"/>
  <c r="Q81" i="2" s="1"/>
  <c r="P80" i="2"/>
  <c r="Q80" i="2" s="1"/>
  <c r="P79" i="2"/>
  <c r="Q79" i="2" s="1"/>
  <c r="P78" i="2"/>
  <c r="Q78" i="2" s="1"/>
  <c r="P77" i="2"/>
  <c r="Q77" i="2" s="1"/>
  <c r="P76" i="2"/>
  <c r="Q76" i="2" s="1"/>
  <c r="P67" i="2"/>
  <c r="P68" i="2"/>
  <c r="P59" i="2"/>
  <c r="P113" i="2" s="1"/>
  <c r="P51" i="2"/>
  <c r="P50" i="2" s="1"/>
  <c r="O97" i="2"/>
  <c r="O99" i="2" s="1"/>
  <c r="O88" i="2"/>
  <c r="P88" i="2" s="1"/>
  <c r="O67" i="2"/>
  <c r="O68" i="2"/>
  <c r="O59" i="2"/>
  <c r="O113" i="2" s="1"/>
  <c r="O51" i="2"/>
  <c r="O61" i="2" s="1"/>
  <c r="O50" i="2"/>
  <c r="AA106" i="2"/>
  <c r="Z106" i="2"/>
  <c r="Y106" i="2"/>
  <c r="W106" i="2"/>
  <c r="U100" i="2"/>
  <c r="BE100" i="2" s="1"/>
  <c r="U98" i="2"/>
  <c r="BE98" i="2" s="1"/>
  <c r="U94" i="2"/>
  <c r="BE94" i="2" s="1"/>
  <c r="U93" i="2"/>
  <c r="BE93" i="2" s="1"/>
  <c r="U90" i="2"/>
  <c r="BE90" i="2" s="1"/>
  <c r="U89" i="2"/>
  <c r="BE89" i="2" s="1"/>
  <c r="S41" i="2"/>
  <c r="S40" i="2"/>
  <c r="V20" i="2"/>
  <c r="U20" i="2"/>
  <c r="T20" i="2"/>
  <c r="S20" i="2"/>
  <c r="U41" i="2"/>
  <c r="T41" i="2"/>
  <c r="U40" i="2"/>
  <c r="T40" i="2"/>
  <c r="W41" i="2"/>
  <c r="V41" i="2"/>
  <c r="W40" i="2"/>
  <c r="V40" i="2"/>
  <c r="W20" i="2"/>
  <c r="X20" i="2"/>
  <c r="Y20" i="2"/>
  <c r="Z20" i="2"/>
  <c r="AA20" i="2"/>
  <c r="AB20" i="2"/>
  <c r="AC20" i="2"/>
  <c r="AE20" i="2"/>
  <c r="X28" i="2"/>
  <c r="AB28" i="2"/>
  <c r="AE28" i="2"/>
  <c r="AF28" i="2"/>
  <c r="AJ28" i="2"/>
  <c r="AD28" i="2"/>
  <c r="AH28" i="2"/>
  <c r="AC28" i="2"/>
  <c r="AG28" i="2"/>
  <c r="AD20" i="2"/>
  <c r="AF20" i="2"/>
  <c r="AG20" i="2"/>
  <c r="AH20" i="2"/>
  <c r="AI20" i="2"/>
  <c r="AJ20" i="2"/>
  <c r="AJ100" i="2"/>
  <c r="AJ98" i="2"/>
  <c r="AJ96" i="2"/>
  <c r="AJ95" i="2"/>
  <c r="AJ93" i="2"/>
  <c r="AJ89" i="2"/>
  <c r="AJ106" i="2"/>
  <c r="AJ90" i="2"/>
  <c r="AJ82" i="2"/>
  <c r="AJ81" i="2"/>
  <c r="AJ80" i="2"/>
  <c r="AJ79" i="2"/>
  <c r="AJ76" i="2"/>
  <c r="AJ77" i="2"/>
  <c r="AA113" i="2"/>
  <c r="Z113" i="2"/>
  <c r="AH113" i="2"/>
  <c r="AG113" i="2"/>
  <c r="AF113" i="2"/>
  <c r="AE113" i="2"/>
  <c r="AD113" i="2"/>
  <c r="AC113" i="2"/>
  <c r="AB113" i="2"/>
  <c r="AJ68" i="2"/>
  <c r="AJ73" i="2" s="1"/>
  <c r="AJ59" i="2"/>
  <c r="AJ113" i="2" s="1"/>
  <c r="AJ51" i="2"/>
  <c r="AJ61" i="2" s="1"/>
  <c r="AJ109" i="2"/>
  <c r="BH33" i="2"/>
  <c r="AL17" i="2"/>
  <c r="AK17" i="2"/>
  <c r="AL16" i="2"/>
  <c r="AK16" i="2"/>
  <c r="AL15" i="2"/>
  <c r="AK15" i="2"/>
  <c r="AL14" i="2"/>
  <c r="AL18" i="2" s="1"/>
  <c r="AK14" i="2"/>
  <c r="AK13" i="2"/>
  <c r="AL13" i="2" s="1"/>
  <c r="AL12" i="2"/>
  <c r="AK12" i="2"/>
  <c r="AL11" i="2"/>
  <c r="AK11" i="2"/>
  <c r="AL25" i="2"/>
  <c r="AK25" i="2"/>
  <c r="AL24" i="2"/>
  <c r="AK24" i="2"/>
  <c r="AL23" i="2"/>
  <c r="AK23" i="2"/>
  <c r="AK33" i="2"/>
  <c r="AL33" i="2" s="1"/>
  <c r="AJ26" i="2"/>
  <c r="AJ42" i="2"/>
  <c r="AJ41" i="2"/>
  <c r="AJ37" i="2"/>
  <c r="AJ38" i="2"/>
  <c r="AJ40" i="2"/>
  <c r="AJ19" i="2"/>
  <c r="AJ110" i="2" s="1"/>
  <c r="AI41" i="2"/>
  <c r="AH41" i="2"/>
  <c r="AI40" i="2"/>
  <c r="AH40" i="2"/>
  <c r="AH97" i="2"/>
  <c r="AH99" i="2" s="1"/>
  <c r="AE106" i="2"/>
  <c r="AI106" i="2"/>
  <c r="AH88" i="2"/>
  <c r="AH91" i="2" s="1"/>
  <c r="AH83" i="2"/>
  <c r="AH84" i="2" s="1"/>
  <c r="AH103" i="2" s="1"/>
  <c r="AH73" i="2"/>
  <c r="AH51" i="2"/>
  <c r="AH61" i="2" s="1"/>
  <c r="AH109" i="2"/>
  <c r="AI28" i="2"/>
  <c r="AI97" i="2"/>
  <c r="AI99" i="2" s="1"/>
  <c r="AI88" i="2"/>
  <c r="AI91" i="2" s="1"/>
  <c r="AI83" i="2"/>
  <c r="AI84" i="2" s="1"/>
  <c r="AI103" i="2" s="1"/>
  <c r="AI73" i="2"/>
  <c r="AI59" i="2"/>
  <c r="AI113" i="2" s="1"/>
  <c r="AI51" i="2"/>
  <c r="AI50" i="2" s="1"/>
  <c r="AI42" i="2"/>
  <c r="AI38" i="2"/>
  <c r="AI37" i="2"/>
  <c r="AI26" i="2"/>
  <c r="AI109" i="2"/>
  <c r="AI18" i="2"/>
  <c r="AI19" i="2" s="1"/>
  <c r="AG97" i="2"/>
  <c r="AG99" i="2" s="1"/>
  <c r="AG88" i="2"/>
  <c r="AG91" i="2" s="1"/>
  <c r="AG83" i="2"/>
  <c r="AG84" i="2"/>
  <c r="AG103" i="2" s="1"/>
  <c r="AG73" i="2"/>
  <c r="AG51" i="2"/>
  <c r="AG50" i="2" s="1"/>
  <c r="AG41" i="2"/>
  <c r="AG40" i="2"/>
  <c r="AG109" i="2"/>
  <c r="BH87" i="2"/>
  <c r="AF97" i="2"/>
  <c r="AF99" i="2" s="1"/>
  <c r="AF88" i="2"/>
  <c r="AF91" i="2" s="1"/>
  <c r="AF83" i="2"/>
  <c r="AF84" i="2" s="1"/>
  <c r="AF103" i="2" s="1"/>
  <c r="AF40" i="2"/>
  <c r="AF41" i="2"/>
  <c r="AF73" i="2"/>
  <c r="AF51" i="2"/>
  <c r="AF61" i="2" s="1"/>
  <c r="AF109" i="2"/>
  <c r="AG38" i="2"/>
  <c r="AG37" i="2"/>
  <c r="BF9" i="2"/>
  <c r="BF8" i="2"/>
  <c r="BF7" i="2"/>
  <c r="BF4" i="2"/>
  <c r="BG9" i="2"/>
  <c r="BG8" i="2"/>
  <c r="BG7" i="2"/>
  <c r="BG4" i="2"/>
  <c r="AE97" i="2"/>
  <c r="AE99" i="2" s="1"/>
  <c r="AE88" i="2"/>
  <c r="AE91" i="2" s="1"/>
  <c r="AE83" i="2"/>
  <c r="AE84" i="2" s="1"/>
  <c r="AE103" i="2" s="1"/>
  <c r="AE73" i="2"/>
  <c r="AE51" i="2"/>
  <c r="AE61" i="2" s="1"/>
  <c r="AE109" i="2"/>
  <c r="AE18" i="2"/>
  <c r="AE19" i="2" s="1"/>
  <c r="AE110" i="2" s="1"/>
  <c r="AA28" i="2"/>
  <c r="AE41" i="2"/>
  <c r="AD41" i="2"/>
  <c r="Y41" i="2"/>
  <c r="X41" i="2"/>
  <c r="AC41" i="2"/>
  <c r="AB41" i="2"/>
  <c r="AA41" i="2"/>
  <c r="Z41" i="2"/>
  <c r="AA40" i="2"/>
  <c r="Z40" i="2"/>
  <c r="Y40" i="2"/>
  <c r="X40" i="2"/>
  <c r="AD40" i="2"/>
  <c r="AC40" i="2"/>
  <c r="AB40" i="2"/>
  <c r="AE40" i="2"/>
  <c r="BG108" i="2"/>
  <c r="BF108" i="2"/>
  <c r="BE108" i="2"/>
  <c r="BE95" i="2"/>
  <c r="BE87" i="2"/>
  <c r="BE82" i="2"/>
  <c r="BE81" i="2"/>
  <c r="BE80" i="2"/>
  <c r="BE79" i="2"/>
  <c r="BE78" i="2"/>
  <c r="BE77" i="2"/>
  <c r="BE76" i="2"/>
  <c r="BE72" i="2"/>
  <c r="BE71" i="2"/>
  <c r="BE70" i="2"/>
  <c r="BE69" i="2"/>
  <c r="BE66" i="2"/>
  <c r="BE65" i="2"/>
  <c r="BE64" i="2"/>
  <c r="BE63" i="2"/>
  <c r="BE60" i="2"/>
  <c r="BE58" i="2"/>
  <c r="BE57" i="2"/>
  <c r="BE56" i="2"/>
  <c r="BE55" i="2"/>
  <c r="BE54" i="2"/>
  <c r="BE53" i="2"/>
  <c r="BE52" i="2"/>
  <c r="BF95" i="2"/>
  <c r="BF76" i="2"/>
  <c r="BF72" i="2"/>
  <c r="BF71" i="2"/>
  <c r="BF70" i="2"/>
  <c r="BF66" i="2"/>
  <c r="BF65" i="2"/>
  <c r="BF64" i="2"/>
  <c r="BF63" i="2"/>
  <c r="BF60" i="2"/>
  <c r="BF59" i="2"/>
  <c r="BF58" i="2"/>
  <c r="BF57" i="2"/>
  <c r="BF56" i="2"/>
  <c r="BF55" i="2"/>
  <c r="BF54" i="2"/>
  <c r="BF53" i="2"/>
  <c r="BF52" i="2"/>
  <c r="AE23" i="2"/>
  <c r="AE26" i="2" s="1"/>
  <c r="AH38" i="2"/>
  <c r="AF38" i="2"/>
  <c r="AE38" i="2"/>
  <c r="AH37" i="2"/>
  <c r="AF37" i="2"/>
  <c r="AE37" i="2"/>
  <c r="AE42" i="2"/>
  <c r="AD18" i="2"/>
  <c r="AD19" i="2" s="1"/>
  <c r="AD45" i="2" s="1"/>
  <c r="AH42" i="2"/>
  <c r="AG42" i="2"/>
  <c r="AF42" i="2"/>
  <c r="BG78" i="2"/>
  <c r="BG72" i="2"/>
  <c r="BG71" i="2"/>
  <c r="BG70" i="2"/>
  <c r="BG69" i="2"/>
  <c r="BG68" i="2"/>
  <c r="BG67" i="2"/>
  <c r="BG66" i="2"/>
  <c r="BG65" i="2"/>
  <c r="BG64" i="2"/>
  <c r="BG63" i="2"/>
  <c r="BG60" i="2"/>
  <c r="BG59" i="2"/>
  <c r="BG58" i="2"/>
  <c r="BG57" i="2"/>
  <c r="BG56" i="2"/>
  <c r="BG55" i="2"/>
  <c r="BG54" i="2"/>
  <c r="BG53" i="2"/>
  <c r="BG52" i="2"/>
  <c r="Z28" i="2"/>
  <c r="AD51" i="2"/>
  <c r="BG51" i="2" s="1"/>
  <c r="AD109" i="2"/>
  <c r="AC109" i="2"/>
  <c r="BG11" i="2"/>
  <c r="AB100" i="2"/>
  <c r="AC100" i="2" s="1"/>
  <c r="AD100" i="2" s="1"/>
  <c r="AB95" i="2"/>
  <c r="AC95" i="2" s="1"/>
  <c r="AD95" i="2" s="1"/>
  <c r="AB94" i="2"/>
  <c r="AC94" i="2" s="1"/>
  <c r="AD94" i="2" s="1"/>
  <c r="AB93" i="2"/>
  <c r="AC93" i="2" s="1"/>
  <c r="AD93" i="2" s="1"/>
  <c r="AB98" i="2"/>
  <c r="AC98" i="2" s="1"/>
  <c r="AD98" i="2" s="1"/>
  <c r="AB90" i="2"/>
  <c r="AC90" i="2" s="1"/>
  <c r="AD90" i="2" s="1"/>
  <c r="AB89" i="2"/>
  <c r="AC89" i="2" s="1"/>
  <c r="AD89" i="2" s="1"/>
  <c r="AB87" i="2"/>
  <c r="AC87" i="2" s="1"/>
  <c r="AG106" i="2" s="1"/>
  <c r="AA97" i="2"/>
  <c r="AA99" i="2" s="1"/>
  <c r="AA88" i="2"/>
  <c r="AA91" i="2" s="1"/>
  <c r="AA83" i="2"/>
  <c r="AB83" i="2" s="1"/>
  <c r="AC83" i="2" s="1"/>
  <c r="AB82" i="2"/>
  <c r="AC82" i="2" s="1"/>
  <c r="AD82" i="2" s="1"/>
  <c r="AB81" i="2"/>
  <c r="AC81" i="2" s="1"/>
  <c r="AD81" i="2" s="1"/>
  <c r="AB80" i="2"/>
  <c r="AC80" i="2" s="1"/>
  <c r="AD80" i="2" s="1"/>
  <c r="AB79" i="2"/>
  <c r="AC79" i="2" s="1"/>
  <c r="AD79" i="2" s="1"/>
  <c r="AB77" i="2"/>
  <c r="AC77" i="2" s="1"/>
  <c r="AD77" i="2" s="1"/>
  <c r="AB76" i="2"/>
  <c r="AC76" i="2" s="1"/>
  <c r="AD76" i="2" s="1"/>
  <c r="AC67" i="2"/>
  <c r="AC68" i="2"/>
  <c r="AC51" i="2"/>
  <c r="AC61" i="2" s="1"/>
  <c r="AD73" i="2"/>
  <c r="BG14" i="2"/>
  <c r="AC42" i="2"/>
  <c r="BF33" i="2"/>
  <c r="BG17" i="2"/>
  <c r="BG16" i="2"/>
  <c r="BG15" i="2"/>
  <c r="BG13" i="2"/>
  <c r="BG12" i="2"/>
  <c r="BF11" i="2"/>
  <c r="BF17" i="2"/>
  <c r="BF16" i="2"/>
  <c r="BF15" i="2"/>
  <c r="BF14" i="2"/>
  <c r="BF13" i="2"/>
  <c r="BF12" i="2"/>
  <c r="AB109" i="2"/>
  <c r="AD42" i="2"/>
  <c r="AD38" i="2"/>
  <c r="AC38" i="2"/>
  <c r="AD37" i="2"/>
  <c r="AC37" i="2"/>
  <c r="BG25" i="2"/>
  <c r="BG24" i="2"/>
  <c r="AD26" i="2"/>
  <c r="AB42" i="2"/>
  <c r="AB38" i="2"/>
  <c r="AB37" i="2"/>
  <c r="AA68" i="2"/>
  <c r="AA67" i="2"/>
  <c r="AB67" i="2"/>
  <c r="AB68" i="2"/>
  <c r="AB51" i="2"/>
  <c r="AB50" i="2" s="1"/>
  <c r="AA42" i="2"/>
  <c r="AA38" i="2"/>
  <c r="AA37" i="2"/>
  <c r="AA51" i="2"/>
  <c r="AA50" i="2" s="1"/>
  <c r="AA109" i="2"/>
  <c r="AB18" i="2"/>
  <c r="AB19" i="2" s="1"/>
  <c r="AB45" i="2" s="1"/>
  <c r="AA18" i="2"/>
  <c r="AA19" i="2" s="1"/>
  <c r="AC26" i="2"/>
  <c r="AB26" i="2"/>
  <c r="AA26" i="2"/>
  <c r="Z97" i="2"/>
  <c r="Z99" i="2" s="1"/>
  <c r="Z88" i="2"/>
  <c r="Z91" i="2" s="1"/>
  <c r="Z83" i="2"/>
  <c r="Z84" i="2" s="1"/>
  <c r="Z103" i="2" s="1"/>
  <c r="Z67" i="2"/>
  <c r="BF67" i="2" s="1"/>
  <c r="Z68" i="2"/>
  <c r="BF68" i="2" s="1"/>
  <c r="Z69" i="2"/>
  <c r="BF69" i="2" s="1"/>
  <c r="Z51" i="2"/>
  <c r="Z61" i="2" s="1"/>
  <c r="Z109" i="2"/>
  <c r="Y97" i="2"/>
  <c r="Y99" i="2" s="1"/>
  <c r="Y88" i="2"/>
  <c r="Y91" i="2" s="1"/>
  <c r="Y83" i="2"/>
  <c r="Y84" i="2" s="1"/>
  <c r="Y103" i="2" s="1"/>
  <c r="Y67" i="2"/>
  <c r="Y68" i="2"/>
  <c r="Y59" i="2"/>
  <c r="Y113" i="2" s="1"/>
  <c r="Y51" i="2"/>
  <c r="Y109" i="2"/>
  <c r="X100" i="2"/>
  <c r="BF100" i="2" s="1"/>
  <c r="X98" i="2"/>
  <c r="BF98" i="2" s="1"/>
  <c r="X94" i="2"/>
  <c r="BF94" i="2" s="1"/>
  <c r="X93" i="2"/>
  <c r="BF93" i="2" s="1"/>
  <c r="X90" i="2"/>
  <c r="BF90" i="2" s="1"/>
  <c r="X89" i="2"/>
  <c r="BF89" i="2" s="1"/>
  <c r="X82" i="2"/>
  <c r="BF82" i="2" s="1"/>
  <c r="X81" i="2"/>
  <c r="BF81" i="2" s="1"/>
  <c r="X80" i="2"/>
  <c r="BF80" i="2" s="1"/>
  <c r="X79" i="2"/>
  <c r="BF79" i="2" s="1"/>
  <c r="X78" i="2"/>
  <c r="BF78" i="2" s="1"/>
  <c r="X77" i="2"/>
  <c r="BF77" i="2" s="1"/>
  <c r="W97" i="2"/>
  <c r="X97" i="2" s="1"/>
  <c r="W88" i="2"/>
  <c r="W91" i="2" s="1"/>
  <c r="W83" i="2"/>
  <c r="W84" i="2" s="1"/>
  <c r="W103" i="2" s="1"/>
  <c r="W68" i="2"/>
  <c r="W67" i="2"/>
  <c r="W51" i="2"/>
  <c r="W50" i="2" s="1"/>
  <c r="W59" i="2"/>
  <c r="W113" i="2" s="1"/>
  <c r="X87" i="2"/>
  <c r="BF87" i="2" s="1"/>
  <c r="X26" i="2"/>
  <c r="X68" i="2"/>
  <c r="X67" i="2"/>
  <c r="X51" i="2"/>
  <c r="X50" i="2" s="1"/>
  <c r="X59" i="2"/>
  <c r="X113" i="2" s="1"/>
  <c r="X109" i="2"/>
  <c r="L4" i="1"/>
  <c r="W109" i="2"/>
  <c r="T97" i="2"/>
  <c r="T99" i="2" s="1"/>
  <c r="T88" i="2"/>
  <c r="T91" i="2" s="1"/>
  <c r="AP27" i="2" l="1"/>
  <c r="AP29" i="2" s="1"/>
  <c r="AP31" i="2" s="1"/>
  <c r="AU85" i="2"/>
  <c r="AT85" i="2"/>
  <c r="AS27" i="2"/>
  <c r="AS29" i="2" s="1"/>
  <c r="AS31" i="2" s="1"/>
  <c r="AS75" i="2" s="1"/>
  <c r="AS46" i="2"/>
  <c r="AQ27" i="2"/>
  <c r="AQ29" i="2" s="1"/>
  <c r="AQ31" i="2" s="1"/>
  <c r="AR27" i="2"/>
  <c r="AR29" i="2" s="1"/>
  <c r="AR31" i="2" s="1"/>
  <c r="AR75" i="2" s="1"/>
  <c r="AV73" i="2"/>
  <c r="AT50" i="2"/>
  <c r="AY61" i="2"/>
  <c r="AY110" i="2"/>
  <c r="AT101" i="2"/>
  <c r="BD41" i="2"/>
  <c r="AT22" i="2"/>
  <c r="AU110" i="2"/>
  <c r="AV50" i="2"/>
  <c r="BG41" i="2"/>
  <c r="BH41" i="2"/>
  <c r="AW50" i="2"/>
  <c r="AW44" i="2"/>
  <c r="AT110" i="2"/>
  <c r="AV45" i="2"/>
  <c r="AU47" i="2"/>
  <c r="AV114" i="2"/>
  <c r="AU105" i="2"/>
  <c r="AV47" i="2"/>
  <c r="AV48" i="2"/>
  <c r="AU39" i="2"/>
  <c r="AV39" i="2"/>
  <c r="J73" i="2"/>
  <c r="AY114" i="2"/>
  <c r="AU61" i="2"/>
  <c r="I73" i="2"/>
  <c r="AX73" i="2"/>
  <c r="AU44" i="2"/>
  <c r="AW91" i="2"/>
  <c r="AW101" i="2" s="1"/>
  <c r="AY50" i="2"/>
  <c r="AT27" i="2"/>
  <c r="AT29" i="2" s="1"/>
  <c r="AT31" i="2" s="1"/>
  <c r="AT35" i="2"/>
  <c r="AW85" i="2"/>
  <c r="AW103" i="2"/>
  <c r="AX85" i="2"/>
  <c r="AU22" i="2"/>
  <c r="AU43" i="2" s="1"/>
  <c r="AU35" i="2"/>
  <c r="AX105" i="2"/>
  <c r="AX44" i="2"/>
  <c r="AX114" i="2"/>
  <c r="AW114" i="2"/>
  <c r="AV103" i="2"/>
  <c r="AV105" i="2" s="1"/>
  <c r="AV85" i="2"/>
  <c r="AV110" i="2"/>
  <c r="AV22" i="2"/>
  <c r="AV43" i="2" s="1"/>
  <c r="AU101" i="2"/>
  <c r="BA33" i="2"/>
  <c r="AW39" i="2"/>
  <c r="AW106" i="2"/>
  <c r="AV91" i="2"/>
  <c r="AV101" i="2" s="1"/>
  <c r="BD79" i="2"/>
  <c r="AY39" i="2"/>
  <c r="AW22" i="2"/>
  <c r="AW43" i="2" s="1"/>
  <c r="BE41" i="2"/>
  <c r="BH109" i="2"/>
  <c r="AW45" i="2"/>
  <c r="AJ50" i="2"/>
  <c r="AW47" i="2"/>
  <c r="AX39" i="2"/>
  <c r="AX106" i="2"/>
  <c r="AW110" i="2"/>
  <c r="AA73" i="2"/>
  <c r="BD80" i="2"/>
  <c r="AX19" i="2"/>
  <c r="AY35" i="2" s="1"/>
  <c r="AX22" i="2"/>
  <c r="AX43" i="2" s="1"/>
  <c r="BI25" i="2"/>
  <c r="AY73" i="2"/>
  <c r="BB94" i="2"/>
  <c r="AY44" i="2"/>
  <c r="AY106" i="2"/>
  <c r="BB100" i="2"/>
  <c r="BA28" i="2"/>
  <c r="BC98" i="2"/>
  <c r="BB98" i="2"/>
  <c r="BC100" i="2"/>
  <c r="AZ114" i="2"/>
  <c r="AX101" i="2"/>
  <c r="BD40" i="2"/>
  <c r="BH73" i="2"/>
  <c r="BH40" i="2"/>
  <c r="BB113" i="2"/>
  <c r="AC50" i="2"/>
  <c r="C103" i="2"/>
  <c r="F50" i="2"/>
  <c r="BB90" i="2"/>
  <c r="AY85" i="2"/>
  <c r="BF20" i="2"/>
  <c r="BE109" i="2"/>
  <c r="BF113" i="2"/>
  <c r="H61" i="2"/>
  <c r="F44" i="2"/>
  <c r="BH113" i="2"/>
  <c r="AY103" i="2"/>
  <c r="AY105" i="2" s="1"/>
  <c r="BG113" i="2"/>
  <c r="BE20" i="2"/>
  <c r="BC41" i="2"/>
  <c r="AY45" i="2"/>
  <c r="BD98" i="2"/>
  <c r="AY47" i="2"/>
  <c r="AZ106" i="2"/>
  <c r="BD109" i="2"/>
  <c r="BA59" i="2"/>
  <c r="BA113" i="2" s="1"/>
  <c r="BA114" i="2" s="1"/>
  <c r="BH20" i="2"/>
  <c r="BF40" i="2"/>
  <c r="BG20" i="2"/>
  <c r="BD100" i="2"/>
  <c r="BA85" i="2"/>
  <c r="BA73" i="2"/>
  <c r="AZ50" i="2"/>
  <c r="BB28" i="2"/>
  <c r="BB20" i="2"/>
  <c r="BC28" i="2"/>
  <c r="BB33" i="2"/>
  <c r="H50" i="2"/>
  <c r="D83" i="2"/>
  <c r="E83" i="2" s="1"/>
  <c r="F73" i="2"/>
  <c r="AY91" i="2"/>
  <c r="AY101" i="2" s="1"/>
  <c r="BA106" i="2"/>
  <c r="BB80" i="2"/>
  <c r="BB87" i="2"/>
  <c r="BB106" i="2" s="1"/>
  <c r="BD81" i="2"/>
  <c r="BF106" i="2"/>
  <c r="BC40" i="2"/>
  <c r="BB81" i="2"/>
  <c r="BE40" i="2"/>
  <c r="BF41" i="2"/>
  <c r="BG40" i="2"/>
  <c r="G106" i="2"/>
  <c r="BC109" i="2"/>
  <c r="BA20" i="2"/>
  <c r="BD90" i="2"/>
  <c r="BD93" i="2"/>
  <c r="BH88" i="2"/>
  <c r="BH91" i="2" s="1"/>
  <c r="BC94" i="2"/>
  <c r="AL26" i="2"/>
  <c r="BD94" i="2"/>
  <c r="BD82" i="2"/>
  <c r="BE106" i="2"/>
  <c r="BD89" i="2"/>
  <c r="BC89" i="2"/>
  <c r="BC90" i="2"/>
  <c r="C91" i="2"/>
  <c r="C101" i="2" s="1"/>
  <c r="AB73" i="2"/>
  <c r="AY22" i="2"/>
  <c r="AY43" i="2" s="1"/>
  <c r="BC73" i="2"/>
  <c r="AZ85" i="2"/>
  <c r="BB50" i="2"/>
  <c r="BB61" i="2"/>
  <c r="BC59" i="2"/>
  <c r="BC61" i="2" s="1"/>
  <c r="J113" i="2"/>
  <c r="J50" i="2"/>
  <c r="BB77" i="2"/>
  <c r="BH97" i="2"/>
  <c r="BH99" i="2" s="1"/>
  <c r="H106" i="2"/>
  <c r="BA51" i="2"/>
  <c r="AZ103" i="2"/>
  <c r="BC77" i="2"/>
  <c r="BA103" i="2"/>
  <c r="BC20" i="2"/>
  <c r="P73" i="2"/>
  <c r="BB68" i="2"/>
  <c r="BB73" i="2" s="1"/>
  <c r="BA91" i="2"/>
  <c r="BA101" i="2" s="1"/>
  <c r="AZ91" i="2"/>
  <c r="AZ101" i="2" s="1"/>
  <c r="BB79" i="2"/>
  <c r="BB82" i="2"/>
  <c r="J61" i="2"/>
  <c r="BC79" i="2"/>
  <c r="BD76" i="2"/>
  <c r="BC81" i="2"/>
  <c r="BB18" i="2"/>
  <c r="BB19" i="2" s="1"/>
  <c r="BB45" i="2" s="1"/>
  <c r="BC50" i="2"/>
  <c r="BE18" i="2"/>
  <c r="BE19" i="2" s="1"/>
  <c r="BE45" i="2" s="1"/>
  <c r="BC78" i="2"/>
  <c r="BD77" i="2"/>
  <c r="BC82" i="2"/>
  <c r="BB76" i="2"/>
  <c r="BB78" i="2"/>
  <c r="BB40" i="2"/>
  <c r="BC80" i="2"/>
  <c r="BD20" i="2"/>
  <c r="BD78" i="2"/>
  <c r="BB89" i="2"/>
  <c r="J101" i="2"/>
  <c r="F101" i="2"/>
  <c r="D44" i="2"/>
  <c r="D48" i="2"/>
  <c r="F47" i="2"/>
  <c r="F48" i="2"/>
  <c r="F22" i="2"/>
  <c r="BH51" i="2"/>
  <c r="BH83" i="2"/>
  <c r="BH84" i="2" s="1"/>
  <c r="BH103" i="2" s="1"/>
  <c r="F110" i="2"/>
  <c r="L106" i="2"/>
  <c r="AI44" i="2"/>
  <c r="Q73" i="2"/>
  <c r="AI114" i="2"/>
  <c r="BI15" i="2"/>
  <c r="D22" i="2"/>
  <c r="D43" i="2" s="1"/>
  <c r="G61" i="2"/>
  <c r="O73" i="2"/>
  <c r="BI17" i="2"/>
  <c r="L73" i="2"/>
  <c r="I61" i="2"/>
  <c r="D91" i="2"/>
  <c r="E87" i="2"/>
  <c r="E48" i="2"/>
  <c r="E22" i="2"/>
  <c r="E47" i="2"/>
  <c r="E45" i="2"/>
  <c r="E44" i="2"/>
  <c r="E93" i="2"/>
  <c r="P97" i="2"/>
  <c r="Q97" i="2" s="1"/>
  <c r="Q99" i="2" s="1"/>
  <c r="AI22" i="2"/>
  <c r="AI43" i="2" s="1"/>
  <c r="D45" i="2"/>
  <c r="I93" i="2"/>
  <c r="BB93" i="2" s="1"/>
  <c r="AB44" i="2"/>
  <c r="N61" i="2"/>
  <c r="D97" i="2"/>
  <c r="E97" i="2" s="1"/>
  <c r="AA44" i="2"/>
  <c r="E76" i="2"/>
  <c r="AK28" i="2"/>
  <c r="AL28" i="2" s="1"/>
  <c r="BI28" i="2" s="1"/>
  <c r="Q61" i="2"/>
  <c r="N50" i="2"/>
  <c r="BI12" i="2"/>
  <c r="AI45" i="2"/>
  <c r="AE44" i="2"/>
  <c r="N73" i="2"/>
  <c r="AD44" i="2"/>
  <c r="M61" i="2"/>
  <c r="G73" i="2"/>
  <c r="C19" i="2"/>
  <c r="C47" i="2" s="1"/>
  <c r="Q88" i="2"/>
  <c r="Q91" i="2" s="1"/>
  <c r="P91" i="2"/>
  <c r="AK87" i="2"/>
  <c r="AL87" i="2" s="1"/>
  <c r="AE45" i="2"/>
  <c r="O44" i="2"/>
  <c r="G113" i="2"/>
  <c r="O91" i="2"/>
  <c r="M73" i="2"/>
  <c r="M76" i="2"/>
  <c r="M87" i="2"/>
  <c r="AA22" i="2"/>
  <c r="AB22" i="2"/>
  <c r="AB43" i="2" s="1"/>
  <c r="AD22" i="2"/>
  <c r="AD43" i="2" s="1"/>
  <c r="AK26" i="2"/>
  <c r="L61" i="2"/>
  <c r="P61" i="2"/>
  <c r="AB114" i="2"/>
  <c r="X106" i="2"/>
  <c r="AE22" i="2"/>
  <c r="M93" i="2"/>
  <c r="BC93" i="2" s="1"/>
  <c r="AB106" i="2"/>
  <c r="AC106" i="2"/>
  <c r="AA45" i="2"/>
  <c r="BI11" i="2"/>
  <c r="AJ45" i="2"/>
  <c r="AJ44" i="2"/>
  <c r="AG114" i="2"/>
  <c r="AA114" i="2"/>
  <c r="AF106" i="2"/>
  <c r="BI16" i="2"/>
  <c r="AJ83" i="2"/>
  <c r="AJ84" i="2" s="1"/>
  <c r="AJ103" i="2" s="1"/>
  <c r="AJ104" i="2" s="1"/>
  <c r="AH114" i="2"/>
  <c r="AF50" i="2"/>
  <c r="BI23" i="2"/>
  <c r="BI24" i="2"/>
  <c r="AC114" i="2"/>
  <c r="AJ97" i="2"/>
  <c r="AJ99" i="2" s="1"/>
  <c r="AJ114" i="2"/>
  <c r="AI61" i="2"/>
  <c r="AJ22" i="2"/>
  <c r="AE114" i="2"/>
  <c r="AD114" i="2"/>
  <c r="AF114" i="2"/>
  <c r="AJ88" i="2"/>
  <c r="AJ91" i="2" s="1"/>
  <c r="AK18" i="2"/>
  <c r="AK19" i="2" s="1"/>
  <c r="AK22" i="2" s="1"/>
  <c r="AK20" i="2" s="1"/>
  <c r="AL19" i="2"/>
  <c r="BI14" i="2"/>
  <c r="BI33" i="2"/>
  <c r="BI13" i="2"/>
  <c r="AI48" i="2"/>
  <c r="AI35" i="2"/>
  <c r="AI47" i="2"/>
  <c r="AI39" i="2"/>
  <c r="AJ48" i="2"/>
  <c r="AJ47" i="2"/>
  <c r="AG101" i="2"/>
  <c r="AI101" i="2"/>
  <c r="AH104" i="2"/>
  <c r="AG61" i="2"/>
  <c r="AI110" i="2"/>
  <c r="L7" i="1"/>
  <c r="AI104" i="2"/>
  <c r="AH101" i="2"/>
  <c r="AF101" i="2"/>
  <c r="BG28" i="2"/>
  <c r="W61" i="2"/>
  <c r="AE50" i="2"/>
  <c r="AE101" i="2"/>
  <c r="Y61" i="2"/>
  <c r="BF109" i="2"/>
  <c r="BG109" i="2"/>
  <c r="AF26" i="2"/>
  <c r="AG26" i="2"/>
  <c r="AH26" i="2"/>
  <c r="BH24" i="2"/>
  <c r="BH25" i="2"/>
  <c r="BF73" i="2"/>
  <c r="BH37" i="2"/>
  <c r="AD61" i="2"/>
  <c r="BG89" i="2"/>
  <c r="BG90" i="2"/>
  <c r="BG100" i="2"/>
  <c r="AD50" i="2"/>
  <c r="BG95" i="2"/>
  <c r="BG33" i="2"/>
  <c r="BG93" i="2"/>
  <c r="BG94" i="2"/>
  <c r="BG98" i="2"/>
  <c r="BH23" i="2"/>
  <c r="AF18" i="2"/>
  <c r="AG18" i="2"/>
  <c r="AG19" i="2" s="1"/>
  <c r="AG44" i="2" s="1"/>
  <c r="BG73" i="2"/>
  <c r="BG79" i="2"/>
  <c r="BG81" i="2"/>
  <c r="BG82" i="2"/>
  <c r="BH28" i="2"/>
  <c r="BG50" i="2"/>
  <c r="BG61" i="2"/>
  <c r="BG76" i="2"/>
  <c r="BG80" i="2"/>
  <c r="BG77" i="2"/>
  <c r="BF51" i="2"/>
  <c r="BF97" i="2"/>
  <c r="BF99" i="2" s="1"/>
  <c r="AH18" i="2"/>
  <c r="AH39" i="2" s="1"/>
  <c r="AE39" i="2"/>
  <c r="AD110" i="2"/>
  <c r="AC73" i="2"/>
  <c r="AB97" i="2"/>
  <c r="AB99" i="2" s="1"/>
  <c r="AA47" i="2"/>
  <c r="AD87" i="2"/>
  <c r="AA110" i="2"/>
  <c r="BG23" i="2"/>
  <c r="AA48" i="2"/>
  <c r="AA84" i="2"/>
  <c r="AA103" i="2" s="1"/>
  <c r="AB48" i="2"/>
  <c r="AB47" i="2"/>
  <c r="AB110" i="2"/>
  <c r="AB88" i="2"/>
  <c r="AC88" i="2" s="1"/>
  <c r="AD88" i="2" s="1"/>
  <c r="AB84" i="2"/>
  <c r="AB103" i="2" s="1"/>
  <c r="AC84" i="2"/>
  <c r="AC103" i="2" s="1"/>
  <c r="AD83" i="2"/>
  <c r="AD84" i="2" s="1"/>
  <c r="AD48" i="2"/>
  <c r="AD47" i="2"/>
  <c r="AC18" i="2"/>
  <c r="Z73" i="2"/>
  <c r="AA61" i="2"/>
  <c r="AB61" i="2"/>
  <c r="Z101" i="2"/>
  <c r="Z50" i="2"/>
  <c r="W73" i="2"/>
  <c r="Y50" i="2"/>
  <c r="Y73" i="2"/>
  <c r="Y101" i="2"/>
  <c r="X73" i="2"/>
  <c r="W99" i="2"/>
  <c r="W101" i="2" s="1"/>
  <c r="X83" i="2"/>
  <c r="X88" i="2"/>
  <c r="X99" i="2"/>
  <c r="X61" i="2"/>
  <c r="T83" i="2"/>
  <c r="T84" i="2" s="1"/>
  <c r="Z42" i="2"/>
  <c r="Y42" i="2"/>
  <c r="Z38" i="2"/>
  <c r="Y38" i="2"/>
  <c r="Z37" i="2"/>
  <c r="Y37" i="2"/>
  <c r="W18" i="2"/>
  <c r="W38" i="2"/>
  <c r="Z26" i="2"/>
  <c r="X42" i="2"/>
  <c r="W42" i="2"/>
  <c r="X38" i="2"/>
  <c r="X37" i="2"/>
  <c r="W37" i="2"/>
  <c r="O48" i="2"/>
  <c r="BB26" i="2"/>
  <c r="BA26" i="2"/>
  <c r="AZ26" i="2"/>
  <c r="AY26" i="2"/>
  <c r="AX26" i="2"/>
  <c r="AW26" i="2"/>
  <c r="AW35" i="2"/>
  <c r="AV35" i="2"/>
  <c r="V97" i="2"/>
  <c r="V99" i="2" s="1"/>
  <c r="V88" i="2"/>
  <c r="V91" i="2" s="1"/>
  <c r="V83" i="2"/>
  <c r="V84" i="2" s="1"/>
  <c r="V103" i="2" s="1"/>
  <c r="V42" i="2"/>
  <c r="V38" i="2"/>
  <c r="V37" i="2"/>
  <c r="V26" i="2"/>
  <c r="BB44" i="2" l="1"/>
  <c r="BB47" i="2"/>
  <c r="AZ105" i="2"/>
  <c r="AT75" i="2"/>
  <c r="AT32" i="2"/>
  <c r="AX35" i="2"/>
  <c r="AU27" i="2"/>
  <c r="AU29" i="2" s="1"/>
  <c r="AV27" i="2"/>
  <c r="AV29" i="2" s="1"/>
  <c r="AX110" i="2"/>
  <c r="AX48" i="2"/>
  <c r="AX47" i="2"/>
  <c r="AX45" i="2"/>
  <c r="BG114" i="2"/>
  <c r="AW111" i="2"/>
  <c r="AW105" i="2"/>
  <c r="BD88" i="2"/>
  <c r="BE44" i="2"/>
  <c r="BA105" i="2"/>
  <c r="BH114" i="2"/>
  <c r="BE22" i="2"/>
  <c r="BD91" i="2"/>
  <c r="BB114" i="2"/>
  <c r="BH101" i="2"/>
  <c r="BC113" i="2"/>
  <c r="BC114" i="2" s="1"/>
  <c r="D84" i="2"/>
  <c r="D103" i="2" s="1"/>
  <c r="E84" i="2"/>
  <c r="E103" i="2" s="1"/>
  <c r="AA43" i="2"/>
  <c r="BA61" i="2"/>
  <c r="BA50" i="2"/>
  <c r="BD97" i="2"/>
  <c r="BD99" i="2" s="1"/>
  <c r="BB22" i="2"/>
  <c r="BB27" i="2" s="1"/>
  <c r="BB110" i="2"/>
  <c r="D27" i="2"/>
  <c r="D29" i="2" s="1"/>
  <c r="D46" i="2" s="1"/>
  <c r="M106" i="2"/>
  <c r="BC87" i="2"/>
  <c r="F43" i="2"/>
  <c r="F27" i="2"/>
  <c r="F29" i="2" s="1"/>
  <c r="AF19" i="2"/>
  <c r="AF44" i="2" s="1"/>
  <c r="BH18" i="2"/>
  <c r="BH19" i="2" s="1"/>
  <c r="BH110" i="2" s="1"/>
  <c r="BH50" i="2"/>
  <c r="BH61" i="2"/>
  <c r="E91" i="2"/>
  <c r="I106" i="2"/>
  <c r="D99" i="2"/>
  <c r="E99" i="2"/>
  <c r="AI27" i="2"/>
  <c r="AI29" i="2" s="1"/>
  <c r="AI31" i="2" s="1"/>
  <c r="C22" i="2"/>
  <c r="C43" i="2" s="1"/>
  <c r="C45" i="2"/>
  <c r="C48" i="2"/>
  <c r="P99" i="2"/>
  <c r="E43" i="2"/>
  <c r="E27" i="2"/>
  <c r="E29" i="2" s="1"/>
  <c r="C44" i="2"/>
  <c r="AD27" i="2"/>
  <c r="AD29" i="2" s="1"/>
  <c r="AD46" i="2" s="1"/>
  <c r="AA27" i="2"/>
  <c r="AA29" i="2" s="1"/>
  <c r="AA31" i="2" s="1"/>
  <c r="BI18" i="2"/>
  <c r="AJ101" i="2"/>
  <c r="Q106" i="2"/>
  <c r="AG45" i="2"/>
  <c r="AG22" i="2"/>
  <c r="N76" i="2"/>
  <c r="N84" i="2" s="1"/>
  <c r="N101" i="2" s="1"/>
  <c r="BI87" i="2"/>
  <c r="AK27" i="2"/>
  <c r="AK29" i="2" s="1"/>
  <c r="AK30" i="2" s="1"/>
  <c r="AK31" i="2" s="1"/>
  <c r="AK32" i="2" s="1"/>
  <c r="AJ39" i="2"/>
  <c r="AK35" i="2"/>
  <c r="BG87" i="2"/>
  <c r="AD106" i="2"/>
  <c r="AH106" i="2"/>
  <c r="AL22" i="2"/>
  <c r="AL27" i="2" s="1"/>
  <c r="AL29" i="2" s="1"/>
  <c r="AL30" i="2" s="1"/>
  <c r="AL31" i="2" s="1"/>
  <c r="AL32" i="2" s="1"/>
  <c r="AG48" i="2"/>
  <c r="AG110" i="2"/>
  <c r="AF35" i="2"/>
  <c r="AF48" i="2"/>
  <c r="AF39" i="2"/>
  <c r="AG39" i="2"/>
  <c r="AG47" i="2"/>
  <c r="AB27" i="2"/>
  <c r="AB29" i="2" s="1"/>
  <c r="AB31" i="2" s="1"/>
  <c r="AB32" i="2" s="1"/>
  <c r="X84" i="2"/>
  <c r="X103" i="2" s="1"/>
  <c r="BF83" i="2"/>
  <c r="BF84" i="2" s="1"/>
  <c r="AA101" i="2"/>
  <c r="BF50" i="2"/>
  <c r="BF61" i="2"/>
  <c r="X91" i="2"/>
  <c r="BF88" i="2"/>
  <c r="BF91" i="2" s="1"/>
  <c r="AD103" i="2"/>
  <c r="AB104" i="2"/>
  <c r="AC91" i="2"/>
  <c r="AC97" i="2"/>
  <c r="BG88" i="2"/>
  <c r="AB91" i="2"/>
  <c r="AB101" i="2" s="1"/>
  <c r="BG83" i="2"/>
  <c r="BG84" i="2" s="1"/>
  <c r="BH85" i="2" s="1"/>
  <c r="AH19" i="2"/>
  <c r="AC104" i="2"/>
  <c r="AD91" i="2"/>
  <c r="AA39" i="2"/>
  <c r="AC19" i="2"/>
  <c r="BG18" i="2"/>
  <c r="BG19" i="2" s="1"/>
  <c r="Y26" i="2"/>
  <c r="T103" i="2"/>
  <c r="T101" i="2"/>
  <c r="W26" i="2"/>
  <c r="AY27" i="2"/>
  <c r="AY29" i="2" s="1"/>
  <c r="AW27" i="2"/>
  <c r="AW29" i="2" s="1"/>
  <c r="AX27" i="2"/>
  <c r="AX29" i="2" s="1"/>
  <c r="V101" i="2"/>
  <c r="AU31" i="2" l="1"/>
  <c r="AU46" i="2"/>
  <c r="AV31" i="2"/>
  <c r="AV46" i="2"/>
  <c r="E101" i="2"/>
  <c r="D101" i="2"/>
  <c r="AX111" i="2"/>
  <c r="AY111" i="2"/>
  <c r="AY31" i="2"/>
  <c r="AY46" i="2"/>
  <c r="AI46" i="2"/>
  <c r="BG106" i="2"/>
  <c r="BH106" i="2"/>
  <c r="C27" i="2"/>
  <c r="C29" i="2" s="1"/>
  <c r="C46" i="2" s="1"/>
  <c r="AF45" i="2"/>
  <c r="BC106" i="2"/>
  <c r="BD106" i="2"/>
  <c r="D31" i="2"/>
  <c r="AF110" i="2"/>
  <c r="AF22" i="2"/>
  <c r="AF43" i="2" s="1"/>
  <c r="AF47" i="2"/>
  <c r="BC76" i="2"/>
  <c r="BH22" i="2"/>
  <c r="BH45" i="2"/>
  <c r="BH44" i="2"/>
  <c r="AJ35" i="2"/>
  <c r="F46" i="2"/>
  <c r="F31" i="2"/>
  <c r="BG110" i="2"/>
  <c r="BG45" i="2"/>
  <c r="BF101" i="2"/>
  <c r="X101" i="2"/>
  <c r="E31" i="2"/>
  <c r="E46" i="2"/>
  <c r="AA46" i="2"/>
  <c r="AC47" i="2"/>
  <c r="AC22" i="2"/>
  <c r="BG22" i="2" s="1"/>
  <c r="AC45" i="2"/>
  <c r="AC44" i="2"/>
  <c r="AH35" i="2"/>
  <c r="AH22" i="2"/>
  <c r="AH45" i="2"/>
  <c r="AH44" i="2"/>
  <c r="BG91" i="2"/>
  <c r="AL35" i="2"/>
  <c r="AG35" i="2"/>
  <c r="AL20" i="2"/>
  <c r="AD104" i="2"/>
  <c r="AG104" i="2"/>
  <c r="AG105" i="2" s="1"/>
  <c r="AI75" i="2"/>
  <c r="AI32" i="2"/>
  <c r="AH110" i="2"/>
  <c r="AF104" i="2"/>
  <c r="AF27" i="2"/>
  <c r="AF29" i="2" s="1"/>
  <c r="AF46" i="2" s="1"/>
  <c r="AE104" i="2"/>
  <c r="AC48" i="2"/>
  <c r="BE48" i="2"/>
  <c r="BE110" i="2"/>
  <c r="AB46" i="2"/>
  <c r="AE35" i="2"/>
  <c r="AE48" i="2"/>
  <c r="AE47" i="2"/>
  <c r="BF103" i="2"/>
  <c r="BG103" i="2"/>
  <c r="BG85" i="2"/>
  <c r="AH47" i="2"/>
  <c r="AH48" i="2"/>
  <c r="AD97" i="2"/>
  <c r="AC99" i="2"/>
  <c r="AC101" i="2" s="1"/>
  <c r="AB75" i="2"/>
  <c r="AC110" i="2"/>
  <c r="Z104" i="2"/>
  <c r="AA104" i="2"/>
  <c r="Y104" i="2"/>
  <c r="AC105" i="2" s="1"/>
  <c r="AD31" i="2"/>
  <c r="AA32" i="2"/>
  <c r="AA75" i="2"/>
  <c r="AW31" i="2"/>
  <c r="AW46" i="2"/>
  <c r="AX46" i="2"/>
  <c r="AX31" i="2"/>
  <c r="C31" i="2" l="1"/>
  <c r="C75" i="2" s="1"/>
  <c r="AV75" i="2"/>
  <c r="AV32" i="2"/>
  <c r="AU75" i="2"/>
  <c r="AU32" i="2"/>
  <c r="AW32" i="2"/>
  <c r="AW75" i="2"/>
  <c r="AX32" i="2"/>
  <c r="AX75" i="2"/>
  <c r="AY32" i="2"/>
  <c r="AY75" i="2"/>
  <c r="BG105" i="2"/>
  <c r="BH105" i="2"/>
  <c r="D75" i="2"/>
  <c r="D32" i="2"/>
  <c r="BH111" i="2"/>
  <c r="F32" i="2"/>
  <c r="F75" i="2"/>
  <c r="E75" i="2"/>
  <c r="E32" i="2"/>
  <c r="AF105" i="2"/>
  <c r="AJ105" i="2"/>
  <c r="AE105" i="2"/>
  <c r="AI105" i="2"/>
  <c r="AC43" i="2"/>
  <c r="AD105" i="2"/>
  <c r="AH105" i="2"/>
  <c r="AF31" i="2"/>
  <c r="AE43" i="2"/>
  <c r="AE27" i="2"/>
  <c r="AE29" i="2" s="1"/>
  <c r="AC27" i="2"/>
  <c r="AC29" i="2" s="1"/>
  <c r="AD99" i="2"/>
  <c r="AD101" i="2" s="1"/>
  <c r="BG97" i="2"/>
  <c r="BG99" i="2" s="1"/>
  <c r="BG101" i="2" s="1"/>
  <c r="AH43" i="2"/>
  <c r="AH27" i="2"/>
  <c r="AH29" i="2" s="1"/>
  <c r="AD32" i="2"/>
  <c r="AD75" i="2"/>
  <c r="V68" i="2"/>
  <c r="BE68" i="2" s="1"/>
  <c r="V67" i="2"/>
  <c r="BE67" i="2" s="1"/>
  <c r="V59" i="2"/>
  <c r="V51" i="2"/>
  <c r="BE51" i="2" s="1"/>
  <c r="O110" i="2"/>
  <c r="V109" i="2"/>
  <c r="U37" i="2"/>
  <c r="T37" i="2"/>
  <c r="S37" i="2"/>
  <c r="U109" i="2"/>
  <c r="T109" i="2"/>
  <c r="S109" i="2"/>
  <c r="S97" i="2"/>
  <c r="U97" i="2" s="1"/>
  <c r="U99" i="2" s="1"/>
  <c r="S88" i="2"/>
  <c r="U88" i="2" s="1"/>
  <c r="U91" i="2" s="1"/>
  <c r="S83" i="2"/>
  <c r="S84" i="2" s="1"/>
  <c r="S103" i="2" s="1"/>
  <c r="O83" i="2"/>
  <c r="R84" i="2"/>
  <c r="S68" i="2"/>
  <c r="S67" i="2"/>
  <c r="S73" i="2" s="1"/>
  <c r="S59" i="2"/>
  <c r="S113" i="2" s="1"/>
  <c r="S51" i="2"/>
  <c r="S50" i="2" s="1"/>
  <c r="R68" i="2"/>
  <c r="BD68" i="2" s="1"/>
  <c r="R67" i="2"/>
  <c r="BD67" i="2" s="1"/>
  <c r="BD73" i="2" s="1"/>
  <c r="R59" i="2"/>
  <c r="R51" i="2"/>
  <c r="V18" i="2"/>
  <c r="U83" i="2"/>
  <c r="U84" i="2" s="1"/>
  <c r="U103" i="2" s="1"/>
  <c r="U68" i="2"/>
  <c r="U67" i="2"/>
  <c r="U59" i="2"/>
  <c r="U113" i="2" s="1"/>
  <c r="U51" i="2"/>
  <c r="U50" i="2" s="1"/>
  <c r="K68" i="2"/>
  <c r="K67" i="2"/>
  <c r="K51" i="2"/>
  <c r="K50" i="2" s="1"/>
  <c r="K59" i="2"/>
  <c r="K113" i="2" s="1"/>
  <c r="G97" i="2"/>
  <c r="G88" i="2"/>
  <c r="G83" i="2"/>
  <c r="K97" i="2"/>
  <c r="K88" i="2"/>
  <c r="K83" i="2"/>
  <c r="G26" i="2"/>
  <c r="O42" i="2"/>
  <c r="O38" i="2"/>
  <c r="O37" i="2"/>
  <c r="BB42" i="2"/>
  <c r="BA42" i="2"/>
  <c r="BB37" i="2"/>
  <c r="BA37" i="2"/>
  <c r="BB48" i="2"/>
  <c r="BA18" i="2"/>
  <c r="BA19" i="2" s="1"/>
  <c r="BA110" i="2" s="1"/>
  <c r="AZ18" i="2"/>
  <c r="BC38" i="2"/>
  <c r="BC42" i="2"/>
  <c r="K18" i="2"/>
  <c r="J18" i="2"/>
  <c r="I18" i="2"/>
  <c r="H18" i="2"/>
  <c r="G18" i="2"/>
  <c r="BB38" i="2"/>
  <c r="BA38" i="2"/>
  <c r="BE33" i="2"/>
  <c r="BJ33" i="2" s="1"/>
  <c r="BK33" i="2" s="1"/>
  <c r="BL33" i="2" s="1"/>
  <c r="BM33" i="2" s="1"/>
  <c r="BN33" i="2" s="1"/>
  <c r="BO33" i="2" s="1"/>
  <c r="BP33" i="2" s="1"/>
  <c r="BQ33" i="2" s="1"/>
  <c r="BR33" i="2" s="1"/>
  <c r="U38" i="2"/>
  <c r="T68" i="2"/>
  <c r="T67" i="2"/>
  <c r="T59" i="2"/>
  <c r="T113" i="2" s="1"/>
  <c r="T51" i="2"/>
  <c r="T18" i="2"/>
  <c r="T19" i="2" s="1"/>
  <c r="T38" i="2"/>
  <c r="S38" i="2"/>
  <c r="R38" i="2"/>
  <c r="Q38" i="2"/>
  <c r="P38" i="2"/>
  <c r="R37" i="2"/>
  <c r="Q37" i="2"/>
  <c r="P37" i="2"/>
  <c r="S18" i="2"/>
  <c r="S19" i="2" s="1"/>
  <c r="R18" i="2"/>
  <c r="T42" i="2"/>
  <c r="T26" i="2"/>
  <c r="P42" i="2"/>
  <c r="L18" i="2"/>
  <c r="P18" i="2"/>
  <c r="P19" i="2" s="1"/>
  <c r="Q42" i="2"/>
  <c r="M26" i="2"/>
  <c r="L26" i="2"/>
  <c r="K26" i="2"/>
  <c r="M18" i="2"/>
  <c r="Q18" i="2"/>
  <c r="Q19" i="2" s="1"/>
  <c r="BD26" i="2"/>
  <c r="BC26" i="2"/>
  <c r="BE2" i="2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O47" i="2"/>
  <c r="N103" i="2"/>
  <c r="R42" i="2"/>
  <c r="N26" i="2"/>
  <c r="N18" i="2"/>
  <c r="S42" i="2"/>
  <c r="S26" i="2"/>
  <c r="R26" i="2"/>
  <c r="Q26" i="2"/>
  <c r="P26" i="2"/>
  <c r="O26" i="2"/>
  <c r="C32" i="2" l="1"/>
  <c r="AZ19" i="2"/>
  <c r="AZ110" i="2" s="1"/>
  <c r="AZ39" i="2"/>
  <c r="BB111" i="2"/>
  <c r="BA48" i="2"/>
  <c r="BA47" i="2"/>
  <c r="BA22" i="2"/>
  <c r="BA45" i="2"/>
  <c r="BA44" i="2"/>
  <c r="BE73" i="2"/>
  <c r="H19" i="2"/>
  <c r="H110" i="2" s="1"/>
  <c r="H39" i="2"/>
  <c r="R50" i="2"/>
  <c r="BD51" i="2"/>
  <c r="G19" i="2"/>
  <c r="G45" i="2" s="1"/>
  <c r="G39" i="2"/>
  <c r="I19" i="2"/>
  <c r="I35" i="2" s="1"/>
  <c r="I39" i="2"/>
  <c r="J19" i="2"/>
  <c r="J35" i="2" s="1"/>
  <c r="J39" i="2"/>
  <c r="R113" i="2"/>
  <c r="BD59" i="2"/>
  <c r="BD113" i="2" s="1"/>
  <c r="BD114" i="2" s="1"/>
  <c r="G84" i="2"/>
  <c r="G103" i="2" s="1"/>
  <c r="H83" i="2"/>
  <c r="M19" i="2"/>
  <c r="M22" i="2" s="1"/>
  <c r="M43" i="2" s="1"/>
  <c r="M39" i="2"/>
  <c r="G91" i="2"/>
  <c r="H88" i="2"/>
  <c r="G99" i="2"/>
  <c r="H97" i="2"/>
  <c r="L19" i="2"/>
  <c r="L47" i="2" s="1"/>
  <c r="L39" i="2"/>
  <c r="K19" i="2"/>
  <c r="K39" i="2"/>
  <c r="N19" i="2"/>
  <c r="N48" i="2" s="1"/>
  <c r="N39" i="2"/>
  <c r="Q45" i="2"/>
  <c r="Q22" i="2"/>
  <c r="Q43" i="2" s="1"/>
  <c r="Q44" i="2"/>
  <c r="S22" i="2"/>
  <c r="S45" i="2"/>
  <c r="S44" i="2"/>
  <c r="U101" i="2"/>
  <c r="K84" i="2"/>
  <c r="K103" i="2" s="1"/>
  <c r="L83" i="2"/>
  <c r="K99" i="2"/>
  <c r="L97" i="2"/>
  <c r="P45" i="2"/>
  <c r="P22" i="2"/>
  <c r="P43" i="2" s="1"/>
  <c r="P44" i="2"/>
  <c r="K91" i="2"/>
  <c r="L88" i="2"/>
  <c r="Y114" i="2"/>
  <c r="U114" i="2"/>
  <c r="S114" i="2"/>
  <c r="W114" i="2"/>
  <c r="T22" i="2"/>
  <c r="T27" i="2" s="1"/>
  <c r="T29" i="2" s="1"/>
  <c r="T45" i="2"/>
  <c r="T44" i="2"/>
  <c r="X114" i="2"/>
  <c r="T114" i="2"/>
  <c r="O84" i="2"/>
  <c r="P83" i="2"/>
  <c r="R103" i="2"/>
  <c r="R101" i="2"/>
  <c r="BE59" i="2"/>
  <c r="V113" i="2"/>
  <c r="AF32" i="2"/>
  <c r="AF75" i="2"/>
  <c r="BE83" i="2"/>
  <c r="BE84" i="2" s="1"/>
  <c r="AE31" i="2"/>
  <c r="AE46" i="2"/>
  <c r="S99" i="2"/>
  <c r="BE97" i="2"/>
  <c r="BE99" i="2" s="1"/>
  <c r="BE50" i="2"/>
  <c r="AH46" i="2"/>
  <c r="S91" i="2"/>
  <c r="BE88" i="2"/>
  <c r="BE91" i="2" s="1"/>
  <c r="V104" i="2"/>
  <c r="Z105" i="2" s="1"/>
  <c r="X104" i="2"/>
  <c r="AB105" i="2" s="1"/>
  <c r="W104" i="2"/>
  <c r="AA105" i="2" s="1"/>
  <c r="BC37" i="2"/>
  <c r="U73" i="2"/>
  <c r="AC46" i="2"/>
  <c r="BG30" i="2"/>
  <c r="AC31" i="2"/>
  <c r="AC75" i="2" s="1"/>
  <c r="BG75" i="2" s="1"/>
  <c r="S110" i="2"/>
  <c r="S48" i="2"/>
  <c r="Q110" i="2"/>
  <c r="Q48" i="2"/>
  <c r="T110" i="2"/>
  <c r="T48" i="2"/>
  <c r="P110" i="2"/>
  <c r="P48" i="2"/>
  <c r="V61" i="2"/>
  <c r="V50" i="2"/>
  <c r="BB35" i="2"/>
  <c r="X18" i="2"/>
  <c r="S61" i="2"/>
  <c r="R73" i="2"/>
  <c r="U61" i="2"/>
  <c r="Y18" i="2"/>
  <c r="AC39" i="2" s="1"/>
  <c r="V19" i="2"/>
  <c r="V39" i="2"/>
  <c r="K73" i="2"/>
  <c r="R61" i="2"/>
  <c r="V73" i="2"/>
  <c r="Z18" i="2"/>
  <c r="K61" i="2"/>
  <c r="BC18" i="2"/>
  <c r="BC19" i="2" s="1"/>
  <c r="BC110" i="2" s="1"/>
  <c r="BC111" i="2" s="1"/>
  <c r="BD42" i="2"/>
  <c r="BJ15" i="2"/>
  <c r="BK15" i="2" s="1"/>
  <c r="BL15" i="2" s="1"/>
  <c r="BM15" i="2" s="1"/>
  <c r="BN15" i="2" s="1"/>
  <c r="BO15" i="2" s="1"/>
  <c r="BP15" i="2" s="1"/>
  <c r="BQ15" i="2" s="1"/>
  <c r="BR15" i="2" s="1"/>
  <c r="BD38" i="2"/>
  <c r="BD37" i="2"/>
  <c r="O39" i="2"/>
  <c r="BA39" i="2"/>
  <c r="BB39" i="2"/>
  <c r="BD18" i="2"/>
  <c r="BD19" i="2" s="1"/>
  <c r="BD110" i="2" s="1"/>
  <c r="BE37" i="2"/>
  <c r="T61" i="2"/>
  <c r="BF25" i="2"/>
  <c r="BJ25" i="2" s="1"/>
  <c r="BK25" i="2" s="1"/>
  <c r="BL25" i="2" s="1"/>
  <c r="BM25" i="2" s="1"/>
  <c r="BN25" i="2" s="1"/>
  <c r="BO25" i="2" s="1"/>
  <c r="BP25" i="2" s="1"/>
  <c r="BQ25" i="2" s="1"/>
  <c r="BR25" i="2" s="1"/>
  <c r="U26" i="2"/>
  <c r="BF24" i="2"/>
  <c r="BJ24" i="2" s="1"/>
  <c r="BK24" i="2" s="1"/>
  <c r="BL24" i="2" s="1"/>
  <c r="BM24" i="2" s="1"/>
  <c r="BN24" i="2" s="1"/>
  <c r="BO24" i="2" s="1"/>
  <c r="BP24" i="2" s="1"/>
  <c r="BQ24" i="2" s="1"/>
  <c r="BR24" i="2" s="1"/>
  <c r="T50" i="2"/>
  <c r="U18" i="2"/>
  <c r="U39" i="2" s="1"/>
  <c r="U42" i="2"/>
  <c r="T73" i="2"/>
  <c r="S39" i="2"/>
  <c r="S35" i="2"/>
  <c r="S47" i="2"/>
  <c r="T47" i="2"/>
  <c r="T35" i="2"/>
  <c r="Q39" i="2"/>
  <c r="R39" i="2"/>
  <c r="R19" i="2"/>
  <c r="T39" i="2"/>
  <c r="P39" i="2"/>
  <c r="P47" i="2"/>
  <c r="Q47" i="2"/>
  <c r="N22" i="2" l="1"/>
  <c r="N43" i="2" s="1"/>
  <c r="N110" i="2"/>
  <c r="BA111" i="2"/>
  <c r="AZ111" i="2"/>
  <c r="AZ35" i="2"/>
  <c r="BA35" i="2"/>
  <c r="AZ22" i="2"/>
  <c r="AZ43" i="2" s="1"/>
  <c r="AZ45" i="2"/>
  <c r="AZ47" i="2"/>
  <c r="AZ44" i="2"/>
  <c r="AZ48" i="2"/>
  <c r="G101" i="2"/>
  <c r="H44" i="2"/>
  <c r="H45" i="2"/>
  <c r="Q35" i="2"/>
  <c r="H48" i="2"/>
  <c r="H35" i="2"/>
  <c r="BE61" i="2"/>
  <c r="BE113" i="2"/>
  <c r="M48" i="2"/>
  <c r="H22" i="2"/>
  <c r="H43" i="2" s="1"/>
  <c r="H47" i="2"/>
  <c r="I48" i="2"/>
  <c r="J110" i="2"/>
  <c r="G44" i="2"/>
  <c r="J22" i="2"/>
  <c r="J43" i="2" s="1"/>
  <c r="J48" i="2"/>
  <c r="I110" i="2"/>
  <c r="M35" i="2"/>
  <c r="G35" i="2"/>
  <c r="G47" i="2"/>
  <c r="G48" i="2"/>
  <c r="J45" i="2"/>
  <c r="I45" i="2"/>
  <c r="I47" i="2"/>
  <c r="G110" i="2"/>
  <c r="G22" i="2"/>
  <c r="G43" i="2" s="1"/>
  <c r="I22" i="2"/>
  <c r="I43" i="2" s="1"/>
  <c r="BD111" i="2"/>
  <c r="BE111" i="2"/>
  <c r="I44" i="2"/>
  <c r="M47" i="2"/>
  <c r="N35" i="2"/>
  <c r="BD48" i="2"/>
  <c r="BD22" i="2"/>
  <c r="BD43" i="2" s="1"/>
  <c r="BD45" i="2"/>
  <c r="BD44" i="2"/>
  <c r="G104" i="2"/>
  <c r="N47" i="2"/>
  <c r="BC35" i="2"/>
  <c r="BC45" i="2"/>
  <c r="BC22" i="2"/>
  <c r="BC43" i="2" s="1"/>
  <c r="BC44" i="2"/>
  <c r="M110" i="2"/>
  <c r="J44" i="2"/>
  <c r="BE103" i="2"/>
  <c r="BD61" i="2"/>
  <c r="BD50" i="2"/>
  <c r="J47" i="2"/>
  <c r="L35" i="2"/>
  <c r="L48" i="2"/>
  <c r="K45" i="2"/>
  <c r="K22" i="2"/>
  <c r="K43" i="2" s="1"/>
  <c r="K44" i="2"/>
  <c r="O35" i="2"/>
  <c r="L45" i="2"/>
  <c r="L44" i="2"/>
  <c r="P35" i="2"/>
  <c r="N45" i="2"/>
  <c r="N44" i="2"/>
  <c r="K110" i="2"/>
  <c r="L22" i="2"/>
  <c r="L43" i="2" s="1"/>
  <c r="K48" i="2"/>
  <c r="K47" i="2"/>
  <c r="K35" i="2"/>
  <c r="I97" i="2"/>
  <c r="H99" i="2"/>
  <c r="I88" i="2"/>
  <c r="H91" i="2"/>
  <c r="L110" i="2"/>
  <c r="M45" i="2"/>
  <c r="M44" i="2"/>
  <c r="I83" i="2"/>
  <c r="I84" i="2" s="1"/>
  <c r="I103" i="2" s="1"/>
  <c r="H84" i="2"/>
  <c r="H103" i="2" s="1"/>
  <c r="K101" i="2"/>
  <c r="V22" i="2"/>
  <c r="V43" i="2" s="1"/>
  <c r="V45" i="2"/>
  <c r="V44" i="2"/>
  <c r="M88" i="2"/>
  <c r="M91" i="2" s="1"/>
  <c r="L91" i="2"/>
  <c r="M97" i="2"/>
  <c r="M99" i="2" s="1"/>
  <c r="L99" i="2"/>
  <c r="M83" i="2"/>
  <c r="M84" i="2" s="1"/>
  <c r="M103" i="2" s="1"/>
  <c r="L84" i="2"/>
  <c r="L103" i="2" s="1"/>
  <c r="M104" i="2" s="1"/>
  <c r="Z114" i="2"/>
  <c r="V114" i="2"/>
  <c r="Q83" i="2"/>
  <c r="Q84" i="2" s="1"/>
  <c r="P84" i="2"/>
  <c r="O103" i="2"/>
  <c r="O101" i="2"/>
  <c r="R48" i="2"/>
  <c r="R45" i="2"/>
  <c r="R44" i="2"/>
  <c r="R22" i="2"/>
  <c r="R43" i="2" s="1"/>
  <c r="U104" i="2"/>
  <c r="S101" i="2"/>
  <c r="BF85" i="2"/>
  <c r="AE75" i="2"/>
  <c r="AE32" i="2"/>
  <c r="BE101" i="2"/>
  <c r="AH31" i="2"/>
  <c r="BC48" i="2"/>
  <c r="Z39" i="2"/>
  <c r="AD39" i="2"/>
  <c r="AB39" i="2"/>
  <c r="BF18" i="2"/>
  <c r="AC32" i="2"/>
  <c r="V47" i="2"/>
  <c r="V48" i="2"/>
  <c r="BD35" i="2"/>
  <c r="Z19" i="2"/>
  <c r="Y19" i="2"/>
  <c r="Y39" i="2"/>
  <c r="X19" i="2"/>
  <c r="X39" i="2"/>
  <c r="W19" i="2"/>
  <c r="W39" i="2"/>
  <c r="BB43" i="2"/>
  <c r="BB29" i="2"/>
  <c r="BA43" i="2"/>
  <c r="BA27" i="2"/>
  <c r="BA29" i="2" s="1"/>
  <c r="R47" i="2"/>
  <c r="R110" i="2"/>
  <c r="V35" i="2"/>
  <c r="V110" i="2"/>
  <c r="BC47" i="2"/>
  <c r="BD39" i="2"/>
  <c r="BC39" i="2"/>
  <c r="U19" i="2"/>
  <c r="BD47" i="2"/>
  <c r="BE38" i="2"/>
  <c r="BE39" i="2"/>
  <c r="BF42" i="2"/>
  <c r="BE42" i="2"/>
  <c r="BF38" i="2"/>
  <c r="BE26" i="2"/>
  <c r="BF23" i="2"/>
  <c r="T31" i="2"/>
  <c r="T46" i="2"/>
  <c r="R35" i="2"/>
  <c r="Q27" i="2"/>
  <c r="Q29" i="2" s="1"/>
  <c r="M27" i="2"/>
  <c r="M29" i="2" s="1"/>
  <c r="T43" i="2"/>
  <c r="N27" i="2"/>
  <c r="N29" i="2" s="1"/>
  <c r="P27" i="2"/>
  <c r="P29" i="2" s="1"/>
  <c r="O43" i="2"/>
  <c r="O27" i="2"/>
  <c r="O29" i="2" s="1"/>
  <c r="S43" i="2"/>
  <c r="S27" i="2"/>
  <c r="S29" i="2" s="1"/>
  <c r="AZ27" i="2" l="1"/>
  <c r="AZ29" i="2" s="1"/>
  <c r="AZ31" i="2" s="1"/>
  <c r="H27" i="2"/>
  <c r="H29" i="2" s="1"/>
  <c r="H46" i="2" s="1"/>
  <c r="BE114" i="2"/>
  <c r="BF114" i="2"/>
  <c r="G27" i="2"/>
  <c r="G29" i="2" s="1"/>
  <c r="G31" i="2" s="1"/>
  <c r="G32" i="2" s="1"/>
  <c r="J27" i="2"/>
  <c r="J29" i="2" s="1"/>
  <c r="J46" i="2" s="1"/>
  <c r="BB83" i="2"/>
  <c r="BB84" i="2" s="1"/>
  <c r="I27" i="2"/>
  <c r="I29" i="2" s="1"/>
  <c r="I31" i="2" s="1"/>
  <c r="N104" i="2"/>
  <c r="J31" i="2"/>
  <c r="J32" i="2" s="1"/>
  <c r="L104" i="2"/>
  <c r="BC83" i="2"/>
  <c r="BC84" i="2" s="1"/>
  <c r="I91" i="2"/>
  <c r="BB88" i="2"/>
  <c r="BB91" i="2" s="1"/>
  <c r="BC97" i="2"/>
  <c r="BC99" i="2" s="1"/>
  <c r="I99" i="2"/>
  <c r="BB97" i="2"/>
  <c r="BB99" i="2" s="1"/>
  <c r="BC88" i="2"/>
  <c r="BC91" i="2" s="1"/>
  <c r="I46" i="2"/>
  <c r="K104" i="2"/>
  <c r="K105" i="2" s="1"/>
  <c r="J104" i="2"/>
  <c r="N105" i="2"/>
  <c r="I104" i="2"/>
  <c r="M105" i="2" s="1"/>
  <c r="K27" i="2"/>
  <c r="K29" i="2" s="1"/>
  <c r="K31" i="2" s="1"/>
  <c r="K75" i="2" s="1"/>
  <c r="BF105" i="2"/>
  <c r="H104" i="2"/>
  <c r="L105" i="2" s="1"/>
  <c r="BD83" i="2"/>
  <c r="BD84" i="2" s="1"/>
  <c r="BD85" i="2" s="1"/>
  <c r="I75" i="2"/>
  <c r="I32" i="2"/>
  <c r="I101" i="2"/>
  <c r="L27" i="2"/>
  <c r="L29" i="2" s="1"/>
  <c r="L31" i="2" s="1"/>
  <c r="L32" i="2" s="1"/>
  <c r="H101" i="2"/>
  <c r="U48" i="2"/>
  <c r="U45" i="2"/>
  <c r="U22" i="2"/>
  <c r="U27" i="2" s="1"/>
  <c r="U29" i="2" s="1"/>
  <c r="U44" i="2"/>
  <c r="Q101" i="2"/>
  <c r="Q103" i="2"/>
  <c r="T104" i="2" s="1"/>
  <c r="AB35" i="2"/>
  <c r="X22" i="2"/>
  <c r="X27" i="2" s="1"/>
  <c r="X45" i="2"/>
  <c r="X44" i="2"/>
  <c r="Y105" i="2"/>
  <c r="P103" i="2"/>
  <c r="P104" i="2" s="1"/>
  <c r="P105" i="2" s="1"/>
  <c r="P101" i="2"/>
  <c r="O104" i="2"/>
  <c r="M101" i="2"/>
  <c r="AA35" i="2"/>
  <c r="W22" i="2"/>
  <c r="W27" i="2" s="1"/>
  <c r="W29" i="2" s="1"/>
  <c r="W45" i="2"/>
  <c r="W44" i="2"/>
  <c r="AC35" i="2"/>
  <c r="Y45" i="2"/>
  <c r="Y22" i="2"/>
  <c r="Y44" i="2"/>
  <c r="Z45" i="2"/>
  <c r="Z22" i="2"/>
  <c r="Z44" i="2"/>
  <c r="L101" i="2"/>
  <c r="AH32" i="2"/>
  <c r="AH75" i="2"/>
  <c r="AH50" i="2"/>
  <c r="Z110" i="2"/>
  <c r="AD35" i="2"/>
  <c r="Y110" i="2"/>
  <c r="Y35" i="2"/>
  <c r="W35" i="2"/>
  <c r="W110" i="2"/>
  <c r="X110" i="2"/>
  <c r="W47" i="2"/>
  <c r="W48" i="2"/>
  <c r="Z35" i="2"/>
  <c r="Z48" i="2"/>
  <c r="Z47" i="2"/>
  <c r="Y48" i="2"/>
  <c r="Y47" i="2"/>
  <c r="X35" i="2"/>
  <c r="X47" i="2"/>
  <c r="X48" i="2"/>
  <c r="BB31" i="2"/>
  <c r="BB32" i="2" s="1"/>
  <c r="BB46" i="2"/>
  <c r="BA31" i="2"/>
  <c r="BA46" i="2"/>
  <c r="U35" i="2"/>
  <c r="U110" i="2"/>
  <c r="T32" i="2"/>
  <c r="T75" i="2"/>
  <c r="U47" i="2"/>
  <c r="BE35" i="2"/>
  <c r="BD27" i="2"/>
  <c r="BD29" i="2" s="1"/>
  <c r="BD31" i="2" s="1"/>
  <c r="BD32" i="2" s="1"/>
  <c r="BC27" i="2"/>
  <c r="BC29" i="2" s="1"/>
  <c r="BC46" i="2" s="1"/>
  <c r="BF26" i="2"/>
  <c r="BG37" i="2"/>
  <c r="Q31" i="2"/>
  <c r="Q46" i="2"/>
  <c r="S31" i="2"/>
  <c r="S46" i="2"/>
  <c r="O31" i="2"/>
  <c r="O46" i="2"/>
  <c r="P31" i="2"/>
  <c r="P46" i="2"/>
  <c r="N31" i="2"/>
  <c r="N46" i="2"/>
  <c r="M31" i="2"/>
  <c r="M46" i="2"/>
  <c r="BF37" i="2"/>
  <c r="R27" i="2"/>
  <c r="R29" i="2" s="1"/>
  <c r="V27" i="2"/>
  <c r="V29" i="2" s="1"/>
  <c r="V46" i="2" s="1"/>
  <c r="AZ46" i="2" l="1"/>
  <c r="BB101" i="2"/>
  <c r="H31" i="2"/>
  <c r="AZ32" i="2"/>
  <c r="AZ75" i="2"/>
  <c r="BA32" i="2"/>
  <c r="BA75" i="2"/>
  <c r="G46" i="2"/>
  <c r="K46" i="2"/>
  <c r="G75" i="2"/>
  <c r="O105" i="2"/>
  <c r="J75" i="2"/>
  <c r="K32" i="2"/>
  <c r="BC101" i="2"/>
  <c r="L46" i="2"/>
  <c r="BC85" i="2"/>
  <c r="BC103" i="2"/>
  <c r="BB103" i="2"/>
  <c r="BB105" i="2" s="1"/>
  <c r="BB85" i="2"/>
  <c r="BD103" i="2"/>
  <c r="BD101" i="2"/>
  <c r="BE85" i="2"/>
  <c r="L75" i="2"/>
  <c r="W43" i="2"/>
  <c r="X105" i="2"/>
  <c r="T105" i="2"/>
  <c r="R104" i="2"/>
  <c r="S104" i="2"/>
  <c r="Q104" i="2"/>
  <c r="U43" i="2"/>
  <c r="BG38" i="2"/>
  <c r="Z43" i="2"/>
  <c r="Z27" i="2"/>
  <c r="Z29" i="2" s="1"/>
  <c r="Y43" i="2"/>
  <c r="Y27" i="2"/>
  <c r="Y29" i="2" s="1"/>
  <c r="X43" i="2"/>
  <c r="X29" i="2"/>
  <c r="W46" i="2"/>
  <c r="BE47" i="2"/>
  <c r="BJ12" i="2"/>
  <c r="BE43" i="2"/>
  <c r="BD46" i="2"/>
  <c r="N32" i="2"/>
  <c r="N75" i="2"/>
  <c r="P32" i="2"/>
  <c r="P75" i="2"/>
  <c r="Q32" i="2"/>
  <c r="Q75" i="2"/>
  <c r="M32" i="2"/>
  <c r="M75" i="2"/>
  <c r="O32" i="2"/>
  <c r="O75" i="2"/>
  <c r="S32" i="2"/>
  <c r="S75" i="2"/>
  <c r="BG42" i="2"/>
  <c r="BG39" i="2"/>
  <c r="BC31" i="2"/>
  <c r="BC32" i="2" s="1"/>
  <c r="BH39" i="2"/>
  <c r="BG26" i="2"/>
  <c r="BH38" i="2"/>
  <c r="BJ14" i="2"/>
  <c r="BF19" i="2"/>
  <c r="BF39" i="2"/>
  <c r="R31" i="2"/>
  <c r="R46" i="2"/>
  <c r="U31" i="2"/>
  <c r="U75" i="2" s="1"/>
  <c r="H32" i="2" l="1"/>
  <c r="H75" i="2"/>
  <c r="BB75" i="2" s="1"/>
  <c r="BC75" i="2"/>
  <c r="BE105" i="2"/>
  <c r="BD105" i="2"/>
  <c r="BC105" i="2"/>
  <c r="BF110" i="2"/>
  <c r="BF45" i="2"/>
  <c r="U105" i="2"/>
  <c r="Q105" i="2"/>
  <c r="V105" i="2"/>
  <c r="R105" i="2"/>
  <c r="W105" i="2"/>
  <c r="S105" i="2"/>
  <c r="BF48" i="2"/>
  <c r="BG43" i="2"/>
  <c r="BG44" i="2"/>
  <c r="BG48" i="2"/>
  <c r="BH42" i="2"/>
  <c r="Z46" i="2"/>
  <c r="Y46" i="2"/>
  <c r="Y31" i="2"/>
  <c r="X46" i="2"/>
  <c r="X31" i="2"/>
  <c r="W31" i="2"/>
  <c r="BE27" i="2"/>
  <c r="BE29" i="2" s="1"/>
  <c r="BH47" i="2"/>
  <c r="BG47" i="2"/>
  <c r="BK12" i="2"/>
  <c r="BG35" i="2"/>
  <c r="R32" i="2"/>
  <c r="R75" i="2"/>
  <c r="BD75" i="2" s="1"/>
  <c r="BG27" i="2"/>
  <c r="BK14" i="2"/>
  <c r="BI37" i="2"/>
  <c r="BJ17" i="2"/>
  <c r="BK17" i="2" s="1"/>
  <c r="BL17" i="2" s="1"/>
  <c r="BM17" i="2" s="1"/>
  <c r="BN17" i="2" s="1"/>
  <c r="BJ13" i="2"/>
  <c r="BK13" i="2" s="1"/>
  <c r="BL13" i="2" s="1"/>
  <c r="BM13" i="2" s="1"/>
  <c r="BN13" i="2" s="1"/>
  <c r="BI42" i="2"/>
  <c r="BI38" i="2"/>
  <c r="BJ16" i="2"/>
  <c r="U32" i="2"/>
  <c r="BH26" i="2"/>
  <c r="U46" i="2"/>
  <c r="BF35" i="2"/>
  <c r="BF47" i="2"/>
  <c r="V31" i="2"/>
  <c r="BF111" i="2" l="1"/>
  <c r="BG111" i="2"/>
  <c r="BO13" i="2"/>
  <c r="BN42" i="2"/>
  <c r="BO17" i="2"/>
  <c r="BN37" i="2"/>
  <c r="BH48" i="2"/>
  <c r="Z31" i="2"/>
  <c r="Y32" i="2"/>
  <c r="Y75" i="2"/>
  <c r="W32" i="2"/>
  <c r="W75" i="2"/>
  <c r="X32" i="2"/>
  <c r="X75" i="2"/>
  <c r="BE46" i="2"/>
  <c r="BI19" i="2"/>
  <c r="BL12" i="2"/>
  <c r="V32" i="2"/>
  <c r="V75" i="2"/>
  <c r="BE75" i="2" s="1"/>
  <c r="BI39" i="2"/>
  <c r="BH35" i="2"/>
  <c r="BF28" i="2"/>
  <c r="BJ23" i="2"/>
  <c r="BI26" i="2"/>
  <c r="BE31" i="2"/>
  <c r="BE32" i="2" s="1"/>
  <c r="BJ38" i="2"/>
  <c r="BK16" i="2"/>
  <c r="BJ37" i="2"/>
  <c r="BJ18" i="2"/>
  <c r="BJ19" i="2" s="1"/>
  <c r="BJ42" i="2"/>
  <c r="BL14" i="2"/>
  <c r="BP17" i="2" l="1"/>
  <c r="BO37" i="2"/>
  <c r="BP13" i="2"/>
  <c r="BO42" i="2"/>
  <c r="BI48" i="2"/>
  <c r="BJ22" i="2"/>
  <c r="BJ48" i="2"/>
  <c r="Z32" i="2"/>
  <c r="Z75" i="2"/>
  <c r="BF75" i="2" s="1"/>
  <c r="BK18" i="2"/>
  <c r="BK19" i="2" s="1"/>
  <c r="BI35" i="2"/>
  <c r="BI47" i="2"/>
  <c r="BM12" i="2"/>
  <c r="BN12" i="2" s="1"/>
  <c r="BO12" i="2" s="1"/>
  <c r="BP12" i="2" s="1"/>
  <c r="BQ12" i="2" s="1"/>
  <c r="BR12" i="2" s="1"/>
  <c r="BK42" i="2"/>
  <c r="BM14" i="2"/>
  <c r="BN14" i="2" s="1"/>
  <c r="BJ39" i="2"/>
  <c r="BL16" i="2"/>
  <c r="BK38" i="2"/>
  <c r="BK23" i="2"/>
  <c r="BL23" i="2" s="1"/>
  <c r="BM23" i="2" s="1"/>
  <c r="BN23" i="2" s="1"/>
  <c r="BJ26" i="2"/>
  <c r="BK37" i="2"/>
  <c r="BK39" i="2" l="1"/>
  <c r="BO14" i="2"/>
  <c r="BO23" i="2"/>
  <c r="BN26" i="2"/>
  <c r="BQ13" i="2"/>
  <c r="BP42" i="2"/>
  <c r="BQ17" i="2"/>
  <c r="BP37" i="2"/>
  <c r="BK22" i="2"/>
  <c r="BK43" i="2" s="1"/>
  <c r="BK48" i="2"/>
  <c r="BL37" i="2"/>
  <c r="BM37" i="2"/>
  <c r="BJ43" i="2"/>
  <c r="BJ35" i="2"/>
  <c r="BJ47" i="2"/>
  <c r="BJ27" i="2"/>
  <c r="BK26" i="2"/>
  <c r="BM16" i="2"/>
  <c r="BL38" i="2"/>
  <c r="BL18" i="2"/>
  <c r="BL19" i="2" s="1"/>
  <c r="BK35" i="2"/>
  <c r="BK47" i="2"/>
  <c r="BM42" i="2"/>
  <c r="BL42" i="2"/>
  <c r="BM38" i="2" l="1"/>
  <c r="BN16" i="2"/>
  <c r="BR13" i="2"/>
  <c r="BR42" i="2" s="1"/>
  <c r="BQ42" i="2"/>
  <c r="BR17" i="2"/>
  <c r="BQ37" i="2"/>
  <c r="BP23" i="2"/>
  <c r="BO26" i="2"/>
  <c r="BP14" i="2"/>
  <c r="BL22" i="2"/>
  <c r="BL48" i="2"/>
  <c r="BJ20" i="2"/>
  <c r="BK20" i="2"/>
  <c r="BM18" i="2"/>
  <c r="BM19" i="2" s="1"/>
  <c r="BL39" i="2"/>
  <c r="BM26" i="2"/>
  <c r="BL26" i="2"/>
  <c r="BK27" i="2"/>
  <c r="BM39" i="2" l="1"/>
  <c r="BQ14" i="2"/>
  <c r="BQ23" i="2"/>
  <c r="BP26" i="2"/>
  <c r="BR37" i="2"/>
  <c r="BO16" i="2"/>
  <c r="BN38" i="2"/>
  <c r="BN18" i="2"/>
  <c r="BM22" i="2"/>
  <c r="BM43" i="2" s="1"/>
  <c r="BM48" i="2"/>
  <c r="BM47" i="2"/>
  <c r="BM35" i="2"/>
  <c r="BL43" i="2"/>
  <c r="BL47" i="2"/>
  <c r="BL35" i="2"/>
  <c r="BG29" i="2"/>
  <c r="BN19" i="2" l="1"/>
  <c r="BN39" i="2"/>
  <c r="BP16" i="2"/>
  <c r="BO38" i="2"/>
  <c r="BO18" i="2"/>
  <c r="BR23" i="2"/>
  <c r="BR26" i="2" s="1"/>
  <c r="BQ26" i="2"/>
  <c r="BR14" i="2"/>
  <c r="BM27" i="2"/>
  <c r="BL27" i="2"/>
  <c r="BL20" i="2"/>
  <c r="BM20" i="2"/>
  <c r="BG46" i="2"/>
  <c r="BO19" i="2" l="1"/>
  <c r="BO39" i="2"/>
  <c r="BQ16" i="2"/>
  <c r="BP38" i="2"/>
  <c r="BP18" i="2"/>
  <c r="BN22" i="2"/>
  <c r="BN35" i="2"/>
  <c r="BN47" i="2"/>
  <c r="BN48" i="2"/>
  <c r="BG31" i="2"/>
  <c r="BG32" i="2" s="1"/>
  <c r="BR16" i="2" l="1"/>
  <c r="BQ38" i="2"/>
  <c r="BQ18" i="2"/>
  <c r="BN43" i="2"/>
  <c r="BN27" i="2"/>
  <c r="BN20" i="2"/>
  <c r="BP19" i="2"/>
  <c r="BP39" i="2"/>
  <c r="BO35" i="2"/>
  <c r="BO22" i="2"/>
  <c r="BO47" i="2"/>
  <c r="BO48" i="2"/>
  <c r="BO43" i="2" l="1"/>
  <c r="BO27" i="2"/>
  <c r="BO20" i="2"/>
  <c r="BQ19" i="2"/>
  <c r="BQ39" i="2"/>
  <c r="BP35" i="2"/>
  <c r="BP22" i="2"/>
  <c r="BP47" i="2"/>
  <c r="BP48" i="2"/>
  <c r="BR38" i="2"/>
  <c r="BR18" i="2"/>
  <c r="BP43" i="2" l="1"/>
  <c r="BP27" i="2"/>
  <c r="BR19" i="2"/>
  <c r="BR39" i="2"/>
  <c r="BP20" i="2"/>
  <c r="BQ22" i="2"/>
  <c r="BQ35" i="2"/>
  <c r="BQ47" i="2"/>
  <c r="BQ48" i="2"/>
  <c r="BQ43" i="2" l="1"/>
  <c r="BQ27" i="2"/>
  <c r="BQ20" i="2"/>
  <c r="BR35" i="2"/>
  <c r="BR22" i="2"/>
  <c r="BR47" i="2"/>
  <c r="BR48" i="2"/>
  <c r="BR43" i="2" l="1"/>
  <c r="BR27" i="2"/>
  <c r="BR20" i="2"/>
  <c r="AG27" i="2" l="1"/>
  <c r="AG29" i="2" s="1"/>
  <c r="AG31" i="2" s="1"/>
  <c r="AG43" i="2"/>
  <c r="AG75" i="2" l="1"/>
  <c r="BH75" i="2" s="1"/>
  <c r="AG32" i="2"/>
  <c r="BH27" i="2"/>
  <c r="BH29" i="2" s="1"/>
  <c r="BH43" i="2"/>
  <c r="BH30" i="2"/>
  <c r="BH46" i="2" s="1"/>
  <c r="AG46" i="2"/>
  <c r="BH31" i="2" l="1"/>
  <c r="BH32" i="2" l="1"/>
  <c r="BI20" i="2" l="1"/>
  <c r="AJ27" i="2"/>
  <c r="AJ29" i="2" s="1"/>
  <c r="BI22" i="2"/>
  <c r="BI27" i="2" s="1"/>
  <c r="BI29" i="2" s="1"/>
  <c r="AJ43" i="2" l="1"/>
  <c r="AJ30" i="2"/>
  <c r="BI43" i="2"/>
  <c r="BI30" i="2" l="1"/>
  <c r="AJ46" i="2"/>
  <c r="AJ31" i="2"/>
  <c r="AJ32" i="2" l="1"/>
  <c r="AJ75" i="2"/>
  <c r="BI46" i="2"/>
  <c r="BI31" i="2"/>
  <c r="BI50" i="2" l="1"/>
  <c r="BI32" i="2"/>
  <c r="BJ28" i="2" l="1"/>
  <c r="BJ29" i="2" s="1"/>
  <c r="BJ30" i="2" l="1"/>
  <c r="BJ46" i="2" s="1"/>
  <c r="BJ31" i="2" l="1"/>
  <c r="BJ32" i="2" l="1"/>
  <c r="BJ50" i="2"/>
  <c r="BK28" i="2" l="1"/>
  <c r="BK29" i="2" s="1"/>
  <c r="BK30" i="2" l="1"/>
  <c r="BK46" i="2" s="1"/>
  <c r="BK31" i="2" l="1"/>
  <c r="BK32" i="2" l="1"/>
  <c r="BK50" i="2"/>
  <c r="BL28" i="2" l="1"/>
  <c r="BL29" i="2" s="1"/>
  <c r="BL30" i="2" l="1"/>
  <c r="BL46" i="2" s="1"/>
  <c r="BL31" i="2" l="1"/>
  <c r="BL32" i="2" l="1"/>
  <c r="BL50" i="2"/>
  <c r="BM28" i="2" l="1"/>
  <c r="BM29" i="2" s="1"/>
  <c r="BM30" i="2" l="1"/>
  <c r="BM46" i="2" s="1"/>
  <c r="BM31" i="2" l="1"/>
  <c r="BM32" i="2" l="1"/>
  <c r="BM50" i="2"/>
  <c r="BN28" i="2" l="1"/>
  <c r="BN29" i="2" s="1"/>
  <c r="BN30" i="2" l="1"/>
  <c r="BN46" i="2" s="1"/>
  <c r="BN31" i="2" l="1"/>
  <c r="BN32" i="2" l="1"/>
  <c r="BN50" i="2"/>
  <c r="BO28" i="2" l="1"/>
  <c r="BO29" i="2" s="1"/>
  <c r="BO30" i="2" l="1"/>
  <c r="BO46" i="2" s="1"/>
  <c r="BO31" i="2"/>
  <c r="BO32" i="2" l="1"/>
  <c r="BO50" i="2"/>
  <c r="BP28" i="2" l="1"/>
  <c r="BP29" i="2" s="1"/>
  <c r="BP30" i="2" l="1"/>
  <c r="BP46" i="2" s="1"/>
  <c r="BP31" i="2"/>
  <c r="BP32" i="2" l="1"/>
  <c r="BP50" i="2"/>
  <c r="BQ28" i="2" l="1"/>
  <c r="BQ29" i="2" s="1"/>
  <c r="BQ30" i="2" l="1"/>
  <c r="BQ46" i="2" s="1"/>
  <c r="BQ31" i="2" l="1"/>
  <c r="BQ32" i="2"/>
  <c r="BQ50" i="2"/>
  <c r="BR28" i="2" l="1"/>
  <c r="BR29" i="2" s="1"/>
  <c r="BR30" i="2" l="1"/>
  <c r="BR46" i="2" s="1"/>
  <c r="BR31" i="2" l="1"/>
  <c r="BR32" i="2"/>
  <c r="BS31" i="2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CU31" i="2" s="1"/>
  <c r="CV31" i="2" s="1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DG31" i="2" s="1"/>
  <c r="DH31" i="2" s="1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BU42" i="2" s="1"/>
  <c r="BU43" i="2" s="1"/>
  <c r="BR50" i="2"/>
  <c r="BU47" i="2" l="1"/>
  <c r="BF44" i="2" l="1"/>
  <c r="BF22" i="2"/>
  <c r="BF27" i="2" s="1"/>
  <c r="BF29" i="2" s="1"/>
  <c r="BF43" i="2" l="1"/>
  <c r="BF30" i="2"/>
  <c r="BF46" i="2" s="1"/>
  <c r="BF31" i="2" l="1"/>
  <c r="BF32" i="2" s="1"/>
</calcChain>
</file>

<file path=xl/sharedStrings.xml><?xml version="1.0" encoding="utf-8"?>
<sst xmlns="http://schemas.openxmlformats.org/spreadsheetml/2006/main" count="345" uniqueCount="282">
  <si>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</si>
  <si>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</si>
  <si>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</si>
  <si>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</si>
  <si>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</si>
  <si>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</si>
  <si>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</si>
  <si>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</si>
  <si>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</si>
  <si>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</si>
  <si>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</si>
  <si>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</si>
  <si>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</si>
  <si>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</si>
  <si>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</si>
  <si>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</si>
  <si>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</si>
  <si>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</si>
  <si>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</si>
  <si>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</si>
  <si>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</si>
  <si>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</si>
  <si>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</si>
  <si>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</si>
  <si>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</si>
  <si>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Founded</t>
  </si>
  <si>
    <t>OpEx</t>
  </si>
  <si>
    <t>OpInc</t>
  </si>
  <si>
    <t>Other</t>
  </si>
  <si>
    <t>Pretax</t>
  </si>
  <si>
    <t>Taxes</t>
  </si>
  <si>
    <t>Net Income</t>
  </si>
  <si>
    <t>EPS</t>
  </si>
  <si>
    <t>Gross Margin</t>
  </si>
  <si>
    <t>Revenue Growth</t>
  </si>
  <si>
    <t>CFFO</t>
  </si>
  <si>
    <t>CapEx</t>
  </si>
  <si>
    <t>FCF</t>
  </si>
  <si>
    <t>Services</t>
  </si>
  <si>
    <t>Cloud</t>
  </si>
  <si>
    <t>Other Bets</t>
  </si>
  <si>
    <t>FX</t>
  </si>
  <si>
    <t>Services Growth</t>
  </si>
  <si>
    <t>Cloud Growth</t>
  </si>
  <si>
    <t>YouTube</t>
  </si>
  <si>
    <t>Network</t>
  </si>
  <si>
    <t>Google Search</t>
  </si>
  <si>
    <t>Search % of Rev</t>
  </si>
  <si>
    <t>Revenue CC%</t>
  </si>
  <si>
    <t>Search Growth</t>
  </si>
  <si>
    <t>YouTube Growth</t>
  </si>
  <si>
    <t>TAC</t>
  </si>
  <si>
    <t>Employees</t>
  </si>
  <si>
    <t>AR</t>
  </si>
  <si>
    <t>Inventory</t>
  </si>
  <si>
    <t>OCA</t>
  </si>
  <si>
    <t>DT</t>
  </si>
  <si>
    <t>PP&amp;E</t>
  </si>
  <si>
    <t>Lease</t>
  </si>
  <si>
    <t>Assets</t>
  </si>
  <si>
    <t>ONCA</t>
  </si>
  <si>
    <t>Goodwill</t>
  </si>
  <si>
    <t>AP</t>
  </si>
  <si>
    <t>Compensation</t>
  </si>
  <si>
    <t>AE</t>
  </si>
  <si>
    <t>RevShare</t>
  </si>
  <si>
    <t>DR</t>
  </si>
  <si>
    <t>L+SE</t>
  </si>
  <si>
    <t>SE</t>
  </si>
  <si>
    <t>OLTL</t>
  </si>
  <si>
    <t>Tax Rate</t>
  </si>
  <si>
    <t>Net Cash</t>
  </si>
  <si>
    <t>Terminal</t>
  </si>
  <si>
    <t>Discount</t>
  </si>
  <si>
    <t>ROIC</t>
  </si>
  <si>
    <t>NPV</t>
  </si>
  <si>
    <t>Share</t>
  </si>
  <si>
    <t>Q119</t>
  </si>
  <si>
    <t>Q219</t>
  </si>
  <si>
    <t>Q319</t>
  </si>
  <si>
    <t>Q419</t>
  </si>
  <si>
    <t xml:space="preserve">  y/y</t>
  </si>
  <si>
    <t>Model NI</t>
  </si>
  <si>
    <t>Reported NI</t>
  </si>
  <si>
    <t>Depreciation</t>
  </si>
  <si>
    <t>Amortization</t>
  </si>
  <si>
    <t>SBC</t>
  </si>
  <si>
    <t>Gain on equities</t>
  </si>
  <si>
    <t>WC</t>
  </si>
  <si>
    <t>Investments</t>
  </si>
  <si>
    <t>CFFF</t>
  </si>
  <si>
    <t>Acquisitions</t>
  </si>
  <si>
    <t>CFFI</t>
  </si>
  <si>
    <t>Buybacks</t>
  </si>
  <si>
    <t>Sale of Entities</t>
  </si>
  <si>
    <t>CIC</t>
  </si>
  <si>
    <t>Q123</t>
  </si>
  <si>
    <t>Q223</t>
  </si>
  <si>
    <t>Q323</t>
  </si>
  <si>
    <t>Q423</t>
  </si>
  <si>
    <t xml:space="preserve">  Rev/HC</t>
  </si>
  <si>
    <t>CEO (for now)</t>
  </si>
  <si>
    <t>Sundar Pichai</t>
  </si>
  <si>
    <t>CFO</t>
  </si>
  <si>
    <t>Advertising %</t>
  </si>
  <si>
    <t>CBO</t>
  </si>
  <si>
    <t>Philipp Schindler</t>
  </si>
  <si>
    <t>SVP Devices, Services</t>
  </si>
  <si>
    <t>Rick Osterloh</t>
  </si>
  <si>
    <t>Thomas Kurian</t>
  </si>
  <si>
    <t>CMO</t>
  </si>
  <si>
    <t>Lorraine Twohill</t>
  </si>
  <si>
    <t>SVP Android, Chrome</t>
  </si>
  <si>
    <t>Hiroshi Lockheimer</t>
  </si>
  <si>
    <t>SVP Engineering</t>
  </si>
  <si>
    <t>Urs Holzle</t>
  </si>
  <si>
    <t>SVP Core Systems</t>
  </si>
  <si>
    <t>Jen Fitzpatrick</t>
  </si>
  <si>
    <t>SVP PM</t>
  </si>
  <si>
    <t>Gerald Wight</t>
  </si>
  <si>
    <t>SVP Tech &amp; Society</t>
  </si>
  <si>
    <t>Paul Buchheit</t>
  </si>
  <si>
    <t>#22</t>
  </si>
  <si>
    <t>Jack Levin</t>
  </si>
  <si>
    <t>#21</t>
  </si>
  <si>
    <t>Susan Wojcicki</t>
  </si>
  <si>
    <t>#16</t>
  </si>
  <si>
    <t>Marissa Mayer</t>
  </si>
  <si>
    <t>#23</t>
  </si>
  <si>
    <t>1999-2012</t>
  </si>
  <si>
    <t>Kendra DiGirolamo</t>
  </si>
  <si>
    <t>#20</t>
  </si>
  <si>
    <t>Ads</t>
  </si>
  <si>
    <t>1999-2001</t>
  </si>
  <si>
    <t>Larry Schwimmer</t>
  </si>
  <si>
    <t>#19</t>
  </si>
  <si>
    <t>SWE</t>
  </si>
  <si>
    <t>1999-2005</t>
  </si>
  <si>
    <t>James Reese</t>
  </si>
  <si>
    <t>#18</t>
  </si>
  <si>
    <t>Gerald Aigner</t>
  </si>
  <si>
    <t>#17</t>
  </si>
  <si>
    <t>1999-2006</t>
  </si>
  <si>
    <t>Joan Braddi</t>
  </si>
  <si>
    <t>#15</t>
  </si>
  <si>
    <t>1999-Present</t>
  </si>
  <si>
    <t>Chris Skarakis</t>
  </si>
  <si>
    <t>#14</t>
  </si>
  <si>
    <t>Rachel Chambers</t>
  </si>
  <si>
    <t>#13</t>
  </si>
  <si>
    <t>1999-2000</t>
  </si>
  <si>
    <t>#12</t>
  </si>
  <si>
    <t>Steve Schimmel</t>
  </si>
  <si>
    <t>1999-2004</t>
  </si>
  <si>
    <t>Omid Kordestani</t>
  </si>
  <si>
    <t>#11</t>
  </si>
  <si>
    <t>1999-2015</t>
  </si>
  <si>
    <t>Salar Kamangar</t>
  </si>
  <si>
    <t>#10</t>
  </si>
  <si>
    <t>Georges Harik</t>
  </si>
  <si>
    <t>#9</t>
  </si>
  <si>
    <t>#8</t>
  </si>
  <si>
    <t>Amit Patel</t>
  </si>
  <si>
    <t>#7</t>
  </si>
  <si>
    <t>1999-?</t>
  </si>
  <si>
    <t>Harry Cheung</t>
  </si>
  <si>
    <t>#6</t>
  </si>
  <si>
    <t>Ray Sidney</t>
  </si>
  <si>
    <t>#5</t>
  </si>
  <si>
    <t>1999-2003</t>
  </si>
  <si>
    <t>#4</t>
  </si>
  <si>
    <t>Heather Cairns</t>
  </si>
  <si>
    <t>1998-2005</t>
  </si>
  <si>
    <t>#3</t>
  </si>
  <si>
    <t>1998-2012</t>
  </si>
  <si>
    <t>Craig Silverstein</t>
  </si>
  <si>
    <t>Matt Cutts</t>
  </si>
  <si>
    <t>Noam Shazeer</t>
  </si>
  <si>
    <t>Douglas Edwards</t>
  </si>
  <si>
    <t>#59</t>
  </si>
  <si>
    <t>Monika Henzinger</t>
  </si>
  <si>
    <t>Krishna Bharat</t>
  </si>
  <si>
    <t>Benedict Gomes</t>
  </si>
  <si>
    <t>Jeff Dean</t>
  </si>
  <si>
    <t>Darrell Anderson</t>
  </si>
  <si>
    <t>Alexander Carobus</t>
  </si>
  <si>
    <t>Yingwei Cui</t>
  </si>
  <si>
    <t>Deepak Jindal</t>
  </si>
  <si>
    <t>Narayanan Shivakumar</t>
  </si>
  <si>
    <t>Kin Kun Law</t>
  </si>
  <si>
    <t>David Cheng</t>
  </si>
  <si>
    <t>Jeremy Bem</t>
  </si>
  <si>
    <t>Joshua Levenberg</t>
  </si>
  <si>
    <t>Simon Tong</t>
  </si>
  <si>
    <t>Ross Koningstein</t>
  </si>
  <si>
    <t>Valentin Spitkovsky</t>
  </si>
  <si>
    <t>Carl Gonsalves</t>
  </si>
  <si>
    <t>US</t>
  </si>
  <si>
    <t>EMEA</t>
  </si>
  <si>
    <t>APAC</t>
  </si>
  <si>
    <t>LatAm</t>
  </si>
  <si>
    <t>Q124</t>
  </si>
  <si>
    <t>Q224</t>
  </si>
  <si>
    <t>Q324</t>
  </si>
  <si>
    <t>Q424</t>
  </si>
  <si>
    <t>TTM FCF</t>
  </si>
  <si>
    <t>RIP</t>
  </si>
  <si>
    <t>1999-2023</t>
  </si>
  <si>
    <t>Search</t>
  </si>
  <si>
    <t>SWOT</t>
  </si>
  <si>
    <t>Opportunities</t>
  </si>
  <si>
    <t>Threats:</t>
  </si>
  <si>
    <t>LLM Search</t>
  </si>
  <si>
    <t>Weaknesses</t>
  </si>
  <si>
    <t>Slow product rollout, conservative</t>
  </si>
  <si>
    <t>AI overviews, Character acquisition</t>
  </si>
  <si>
    <t>Strengths</t>
  </si>
  <si>
    <t>Ubiquity</t>
  </si>
  <si>
    <t>AI</t>
  </si>
  <si>
    <t>Gemini</t>
  </si>
  <si>
    <t>"1.5m users"</t>
  </si>
  <si>
    <t>Gmail</t>
  </si>
  <si>
    <t>Google Photos</t>
  </si>
  <si>
    <t>Astra</t>
  </si>
  <si>
    <t>TPUS</t>
  </si>
  <si>
    <t>Trillium - 6th-gen</t>
  </si>
  <si>
    <t>Waymo</t>
  </si>
  <si>
    <t>Character</t>
  </si>
  <si>
    <t>Vertex</t>
  </si>
  <si>
    <t>Current</t>
  </si>
  <si>
    <t>Return</t>
  </si>
  <si>
    <t>Khan Academy</t>
  </si>
  <si>
    <t>IT</t>
  </si>
  <si>
    <t>Dividend</t>
  </si>
  <si>
    <t>Q125</t>
  </si>
  <si>
    <t>Q225</t>
  </si>
  <si>
    <t>Q325</t>
  </si>
  <si>
    <t>Q425</t>
  </si>
  <si>
    <t>"Circle to Search", AI overviews</t>
  </si>
  <si>
    <t>-</t>
  </si>
  <si>
    <t>Mariner</t>
  </si>
  <si>
    <t>reason on browser screen</t>
  </si>
  <si>
    <t>Veo 2</t>
  </si>
  <si>
    <t>video generation</t>
  </si>
  <si>
    <t>Imagen 3</t>
  </si>
  <si>
    <t>text-to-image</t>
  </si>
  <si>
    <t>Deep Research</t>
  </si>
  <si>
    <t>first to launch this</t>
  </si>
  <si>
    <t>Agentspace</t>
  </si>
  <si>
    <t>Tokyo, Miami, Austin, Atlanta, SF</t>
  </si>
  <si>
    <t>Shopping</t>
  </si>
  <si>
    <t>150k trips/week: Q424</t>
  </si>
  <si>
    <t>Shorts</t>
  </si>
  <si>
    <t>Pixel</t>
  </si>
  <si>
    <t>Subscriptions, Platforms, Devices</t>
  </si>
  <si>
    <t>Google One</t>
  </si>
  <si>
    <t>YouTube TV</t>
  </si>
  <si>
    <t>YouTube Music Premium</t>
  </si>
  <si>
    <t>Google Play</t>
  </si>
  <si>
    <t>GCP</t>
  </si>
  <si>
    <t>Workspace</t>
  </si>
  <si>
    <t>Anat Ashkenazi replaced Ruth Porat</t>
  </si>
  <si>
    <t>Network Growth</t>
  </si>
  <si>
    <t>Subscriptons Growth</t>
  </si>
  <si>
    <t>Q126</t>
  </si>
  <si>
    <t>Q226</t>
  </si>
  <si>
    <t>Q326</t>
  </si>
  <si>
    <t>Q426</t>
  </si>
  <si>
    <t>CapEx Y/Y</t>
  </si>
  <si>
    <t>Cloud Backlog</t>
  </si>
  <si>
    <t>EOP Price</t>
  </si>
  <si>
    <t>Nasdaq Price</t>
  </si>
  <si>
    <t>Book Value</t>
  </si>
  <si>
    <t>Stock Issuance</t>
  </si>
  <si>
    <t>Non-TAC % of sales</t>
  </si>
  <si>
    <t>TAC% of sales</t>
  </si>
  <si>
    <t>Q118</t>
  </si>
  <si>
    <t>Q218</t>
  </si>
  <si>
    <t>Q318</t>
  </si>
  <si>
    <t>Q418</t>
  </si>
  <si>
    <t>UK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</si>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</sst>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%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5" fontId="1" fillId="0" borderId="0" xfId="0" applyNumberFormat="1" applyFont="1"/>
    <xf numFmtId="9" fontId="4" fillId="0" borderId="0" xfId="0" applyNumberFormat="1" applyFont="1"/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38609E48-62E1-469E-8269-EB68F2686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34427</xdr:colOff>
      <xdr:row>0</xdr:row>
      <xdr:rowOff>0</xdr:rowOff>
    </xdr:from>
    <xdr:to>
      <xdr:col>36</xdr:col>
      <xdr:colOff>34427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7187D-5F37-6A4E-EA1E-BFC001588B0B}"/>
            </a:ext>
          </a:extLst>
        </xdr:cNvPr>
        <xdr:cNvCxnSpPr/>
      </xdr:nvCxnSpPr>
      <xdr:spPr>
        <a:xfrm>
          <a:off x="20525601" y="0"/>
          <a:ext cx="0" cy="196783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26708</xdr:colOff>
      <xdr:row>0</xdr:row>
      <xdr:rowOff>0</xdr:rowOff>
    </xdr:from>
    <xdr:to>
      <xdr:col>60</xdr:col>
      <xdr:colOff>26708</xdr:colOff>
      <xdr:row>129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ED61BD-17E4-41BC-8AC6-8053BF8C4ECA}"/>
            </a:ext>
          </a:extLst>
        </xdr:cNvPr>
        <xdr:cNvCxnSpPr/>
      </xdr:nvCxnSpPr>
      <xdr:spPr>
        <a:xfrm>
          <a:off x="32908665" y="0"/>
          <a:ext cx="0" cy="193581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1E30-7A56-49BA-9DA6-0CC9ECCB38E3}">
  <dimension ref="B1:N65"/>
  <sheetViews>
    <sheetView zoomScale="130" zoomScaleNormal="130" workbookViewId="0">
      <selection activeCell="J21" sqref="J21"/>
    </sheetView>
  </sheetViews>
  <sheetFormatPr defaultColWidth="8.85546875" defaultRowHeight="12.75" x14ac:dyDescent="0.2"/>
  <cols>
    <col min="3" max="3" width="13.28515625" customWidth="1"/>
    <col min="7" max="7" width="7.7109375" customWidth="1"/>
    <col min="8" max="8" width="5.28515625" customWidth="1"/>
    <col min="9" max="9" width="7.7109375" customWidth="1"/>
    <col min="11" max="11" width="21.7109375" customWidth="1"/>
    <col min="12" max="12" width="13.42578125" customWidth="1"/>
    <col min="13" max="13" width="9.42578125" customWidth="1"/>
  </cols>
  <sheetData>
    <row r="1" spans="2:13" x14ac:dyDescent="0.2">
      <c r="K1" s="7"/>
    </row>
    <row r="2" spans="2:13" x14ac:dyDescent="0.2">
      <c r="B2" t="s">
        <v>208</v>
      </c>
      <c r="K2" t="s">
        <v>0</v>
      </c>
      <c r="L2" s="1">
        <v>319</v>
      </c>
    </row>
    <row r="3" spans="2:13" x14ac:dyDescent="0.2">
      <c r="C3" t="s">
        <v>209</v>
      </c>
      <c r="H3" s="4"/>
      <c r="I3" s="3"/>
      <c r="K3" t="s">
        <v>1</v>
      </c>
      <c r="L3" s="3">
        <v>12238</v>
      </c>
      <c r="M3" s="2" t="s">
        <v>264</v>
      </c>
    </row>
    <row r="4" spans="2:13" x14ac:dyDescent="0.2">
      <c r="C4" t="s">
        <v>216</v>
      </c>
      <c r="D4" t="s">
        <v>217</v>
      </c>
      <c r="H4" s="4"/>
      <c r="K4" t="s">
        <v>2</v>
      </c>
      <c r="L4" s="3">
        <f>L2*L3</f>
        <v>3903922</v>
      </c>
    </row>
    <row r="5" spans="2:13" x14ac:dyDescent="0.2">
      <c r="C5" t="s">
        <v>213</v>
      </c>
      <c r="D5" t="s">
        <v>214</v>
      </c>
      <c r="H5" s="6"/>
      <c r="K5" t="s">
        <v>3</v>
      </c>
      <c r="L5" s="3">
        <v>233786</v>
      </c>
      <c r="M5" s="2" t="s">
        <v>264</v>
      </c>
    </row>
    <row r="6" spans="2:13" x14ac:dyDescent="0.2">
      <c r="C6" t="s">
        <v>210</v>
      </c>
      <c r="D6" t="s">
        <v>215</v>
      </c>
      <c r="K6" t="s">
        <v>4</v>
      </c>
      <c r="L6" s="3">
        <v>77501</v>
      </c>
      <c r="M6" s="2" t="s">
        <v>264</v>
      </c>
    </row>
    <row r="7" spans="2:13" x14ac:dyDescent="0.2">
      <c r="C7" t="s">
        <v>211</v>
      </c>
      <c r="K7" t="s">
        <v>5</v>
      </c>
      <c r="L7" s="3">
        <f>L4-L5+L6</f>
        <v>3747637</v>
      </c>
    </row>
    <row r="8" spans="2:13" x14ac:dyDescent="0.2">
      <c r="D8" t="s">
        <v>212</v>
      </c>
      <c r="K8" s="7"/>
    </row>
    <row r="9" spans="2:13" x14ac:dyDescent="0.2">
      <c r="C9" t="s">
        <v>238</v>
      </c>
      <c r="K9" s="7" t="s">
        <v>25</v>
      </c>
      <c r="L9" s="13">
        <v>1998</v>
      </c>
    </row>
    <row r="10" spans="2:13" x14ac:dyDescent="0.2">
      <c r="B10" t="s">
        <v>218</v>
      </c>
      <c r="L10" s="3"/>
    </row>
    <row r="11" spans="2:13" x14ac:dyDescent="0.2">
      <c r="C11" t="s">
        <v>219</v>
      </c>
      <c r="D11" t="s">
        <v>220</v>
      </c>
      <c r="K11" s="8"/>
    </row>
    <row r="12" spans="2:13" x14ac:dyDescent="0.2">
      <c r="C12" t="s">
        <v>223</v>
      </c>
      <c r="K12" t="s">
        <v>101</v>
      </c>
      <c r="L12" s="19" t="s">
        <v>102</v>
      </c>
    </row>
    <row r="13" spans="2:13" x14ac:dyDescent="0.2">
      <c r="C13" t="s">
        <v>224</v>
      </c>
      <c r="D13" t="s">
        <v>225</v>
      </c>
      <c r="K13" t="s">
        <v>103</v>
      </c>
      <c r="L13" s="19" t="s">
        <v>261</v>
      </c>
    </row>
    <row r="14" spans="2:13" x14ac:dyDescent="0.2">
      <c r="C14" t="s">
        <v>228</v>
      </c>
      <c r="D14" t="s">
        <v>241</v>
      </c>
      <c r="K14" s="3" t="s">
        <v>105</v>
      </c>
      <c r="L14" s="20" t="s">
        <v>106</v>
      </c>
      <c r="M14" s="3"/>
    </row>
    <row r="15" spans="2:13" x14ac:dyDescent="0.2">
      <c r="C15" t="s">
        <v>240</v>
      </c>
      <c r="K15" t="s">
        <v>107</v>
      </c>
      <c r="L15" s="19" t="s">
        <v>108</v>
      </c>
    </row>
    <row r="16" spans="2:13" x14ac:dyDescent="0.2">
      <c r="C16" t="s">
        <v>242</v>
      </c>
      <c r="D16" t="s">
        <v>243</v>
      </c>
      <c r="K16" t="s">
        <v>39</v>
      </c>
      <c r="L16" s="19" t="s">
        <v>109</v>
      </c>
    </row>
    <row r="17" spans="2:14" x14ac:dyDescent="0.2">
      <c r="C17" t="s">
        <v>244</v>
      </c>
      <c r="D17" t="s">
        <v>245</v>
      </c>
      <c r="K17" t="s">
        <v>110</v>
      </c>
      <c r="L17" s="19" t="s">
        <v>111</v>
      </c>
    </row>
    <row r="18" spans="2:14" x14ac:dyDescent="0.2">
      <c r="C18" t="s">
        <v>246</v>
      </c>
      <c r="D18" t="s">
        <v>247</v>
      </c>
      <c r="K18" t="s">
        <v>112</v>
      </c>
      <c r="L18" s="19" t="s">
        <v>113</v>
      </c>
    </row>
    <row r="19" spans="2:14" x14ac:dyDescent="0.2">
      <c r="C19" t="s">
        <v>248</v>
      </c>
      <c r="K19" t="s">
        <v>114</v>
      </c>
      <c r="L19" s="19" t="s">
        <v>115</v>
      </c>
    </row>
    <row r="20" spans="2:14" x14ac:dyDescent="0.2">
      <c r="K20" t="s">
        <v>116</v>
      </c>
      <c r="L20" s="19" t="s">
        <v>117</v>
      </c>
    </row>
    <row r="21" spans="2:14" x14ac:dyDescent="0.2">
      <c r="B21" t="s">
        <v>44</v>
      </c>
      <c r="K21" t="s">
        <v>118</v>
      </c>
      <c r="L21" s="19" t="s">
        <v>119</v>
      </c>
    </row>
    <row r="22" spans="2:14" x14ac:dyDescent="0.2">
      <c r="C22" t="s">
        <v>252</v>
      </c>
      <c r="K22" t="s">
        <v>120</v>
      </c>
      <c r="L22" s="19"/>
    </row>
    <row r="23" spans="2:14" x14ac:dyDescent="0.2">
      <c r="C23" t="s">
        <v>256</v>
      </c>
    </row>
    <row r="24" spans="2:14" x14ac:dyDescent="0.2">
      <c r="C24" t="s">
        <v>257</v>
      </c>
    </row>
    <row r="25" spans="2:14" x14ac:dyDescent="0.2">
      <c r="B25" t="s">
        <v>221</v>
      </c>
      <c r="K25" t="s">
        <v>175</v>
      </c>
      <c r="L25" t="s">
        <v>173</v>
      </c>
      <c r="M25" t="s">
        <v>174</v>
      </c>
      <c r="N25" t="s">
        <v>231</v>
      </c>
    </row>
    <row r="26" spans="2:14" x14ac:dyDescent="0.2">
      <c r="B26" t="s">
        <v>222</v>
      </c>
      <c r="K26" t="s">
        <v>171</v>
      </c>
      <c r="L26" t="s">
        <v>170</v>
      </c>
      <c r="M26" t="s">
        <v>172</v>
      </c>
    </row>
    <row r="27" spans="2:14" x14ac:dyDescent="0.2">
      <c r="B27" t="s">
        <v>227</v>
      </c>
      <c r="K27" t="s">
        <v>167</v>
      </c>
      <c r="L27" t="s">
        <v>168</v>
      </c>
      <c r="M27" t="s">
        <v>169</v>
      </c>
    </row>
    <row r="28" spans="2:14" x14ac:dyDescent="0.2">
      <c r="B28" t="s">
        <v>39</v>
      </c>
      <c r="K28" t="s">
        <v>165</v>
      </c>
      <c r="L28" t="s">
        <v>166</v>
      </c>
      <c r="M28" t="s">
        <v>153</v>
      </c>
    </row>
    <row r="29" spans="2:14" x14ac:dyDescent="0.2">
      <c r="C29" t="s">
        <v>259</v>
      </c>
      <c r="K29" t="s">
        <v>162</v>
      </c>
      <c r="L29" t="s">
        <v>163</v>
      </c>
      <c r="M29" t="s">
        <v>164</v>
      </c>
    </row>
    <row r="30" spans="2:14" x14ac:dyDescent="0.2">
      <c r="C30" t="s">
        <v>260</v>
      </c>
      <c r="K30" t="s">
        <v>115</v>
      </c>
      <c r="L30" t="s">
        <v>161</v>
      </c>
      <c r="M30" t="s">
        <v>145</v>
      </c>
    </row>
    <row r="31" spans="2:14" x14ac:dyDescent="0.2">
      <c r="B31" t="s">
        <v>226</v>
      </c>
      <c r="C31" t="s">
        <v>249</v>
      </c>
      <c r="K31" t="s">
        <v>159</v>
      </c>
      <c r="L31" t="s">
        <v>160</v>
      </c>
      <c r="M31" t="s">
        <v>137</v>
      </c>
    </row>
    <row r="32" spans="2:14" x14ac:dyDescent="0.2">
      <c r="C32" t="s">
        <v>251</v>
      </c>
      <c r="K32" t="s">
        <v>157</v>
      </c>
      <c r="L32" t="s">
        <v>158</v>
      </c>
      <c r="M32" t="s">
        <v>145</v>
      </c>
    </row>
    <row r="33" spans="2:14" x14ac:dyDescent="0.2">
      <c r="B33" t="s">
        <v>250</v>
      </c>
      <c r="K33" t="s">
        <v>154</v>
      </c>
      <c r="L33" t="s">
        <v>155</v>
      </c>
      <c r="M33" t="s">
        <v>156</v>
      </c>
    </row>
    <row r="34" spans="2:14" x14ac:dyDescent="0.2">
      <c r="B34" t="s">
        <v>253</v>
      </c>
      <c r="K34" t="s">
        <v>152</v>
      </c>
      <c r="L34" t="s">
        <v>151</v>
      </c>
      <c r="M34" t="s">
        <v>153</v>
      </c>
    </row>
    <row r="35" spans="2:14" x14ac:dyDescent="0.2">
      <c r="B35" t="s">
        <v>255</v>
      </c>
      <c r="K35" t="s">
        <v>148</v>
      </c>
      <c r="L35" t="s">
        <v>149</v>
      </c>
      <c r="M35" t="s">
        <v>150</v>
      </c>
    </row>
    <row r="36" spans="2:14" x14ac:dyDescent="0.2">
      <c r="B36" t="s">
        <v>258</v>
      </c>
      <c r="K36" t="s">
        <v>146</v>
      </c>
      <c r="L36" t="s">
        <v>147</v>
      </c>
      <c r="M36" t="s">
        <v>137</v>
      </c>
    </row>
    <row r="37" spans="2:14" x14ac:dyDescent="0.2">
      <c r="K37" t="s">
        <v>143</v>
      </c>
      <c r="L37" t="s">
        <v>144</v>
      </c>
      <c r="M37" t="s">
        <v>145</v>
      </c>
    </row>
    <row r="38" spans="2:14" x14ac:dyDescent="0.2">
      <c r="K38" s="7" t="s">
        <v>125</v>
      </c>
      <c r="L38" t="s">
        <v>126</v>
      </c>
      <c r="M38" t="s">
        <v>207</v>
      </c>
      <c r="N38" t="s">
        <v>206</v>
      </c>
    </row>
    <row r="39" spans="2:14" x14ac:dyDescent="0.2">
      <c r="K39" t="s">
        <v>140</v>
      </c>
      <c r="L39" t="s">
        <v>141</v>
      </c>
      <c r="M39" t="s">
        <v>142</v>
      </c>
    </row>
    <row r="40" spans="2:14" x14ac:dyDescent="0.2">
      <c r="K40" t="s">
        <v>138</v>
      </c>
      <c r="L40" t="s">
        <v>139</v>
      </c>
      <c r="M40" t="s">
        <v>137</v>
      </c>
    </row>
    <row r="41" spans="2:14" x14ac:dyDescent="0.2">
      <c r="K41" t="s">
        <v>134</v>
      </c>
      <c r="L41" t="s">
        <v>135</v>
      </c>
      <c r="M41" t="s">
        <v>137</v>
      </c>
      <c r="N41" t="s">
        <v>136</v>
      </c>
    </row>
    <row r="42" spans="2:14" x14ac:dyDescent="0.2">
      <c r="K42" t="s">
        <v>130</v>
      </c>
      <c r="L42" t="s">
        <v>131</v>
      </c>
      <c r="M42" t="s">
        <v>133</v>
      </c>
      <c r="N42" t="s">
        <v>132</v>
      </c>
    </row>
    <row r="43" spans="2:14" x14ac:dyDescent="0.2">
      <c r="K43" s="7" t="s">
        <v>127</v>
      </c>
      <c r="L43" t="s">
        <v>124</v>
      </c>
      <c r="M43" t="s">
        <v>129</v>
      </c>
    </row>
    <row r="44" spans="2:14" x14ac:dyDescent="0.2">
      <c r="K44" s="7" t="s">
        <v>123</v>
      </c>
      <c r="L44" t="s">
        <v>122</v>
      </c>
      <c r="N44" t="s">
        <v>232</v>
      </c>
    </row>
    <row r="45" spans="2:14" x14ac:dyDescent="0.2">
      <c r="K45" s="7" t="s">
        <v>121</v>
      </c>
      <c r="L45" t="s">
        <v>128</v>
      </c>
    </row>
    <row r="46" spans="2:14" x14ac:dyDescent="0.2">
      <c r="K46" t="s">
        <v>176</v>
      </c>
    </row>
    <row r="47" spans="2:14" x14ac:dyDescent="0.2">
      <c r="K47" s="7" t="s">
        <v>177</v>
      </c>
    </row>
    <row r="48" spans="2:14" x14ac:dyDescent="0.2">
      <c r="K48" t="s">
        <v>178</v>
      </c>
      <c r="L48" t="s">
        <v>179</v>
      </c>
    </row>
    <row r="49" spans="11:11" x14ac:dyDescent="0.2">
      <c r="K49" t="s">
        <v>180</v>
      </c>
    </row>
    <row r="50" spans="11:11" x14ac:dyDescent="0.2">
      <c r="K50" t="s">
        <v>181</v>
      </c>
    </row>
    <row r="51" spans="11:11" x14ac:dyDescent="0.2">
      <c r="K51" t="s">
        <v>182</v>
      </c>
    </row>
    <row r="52" spans="11:11" x14ac:dyDescent="0.2">
      <c r="K52" s="7" t="s">
        <v>183</v>
      </c>
    </row>
    <row r="53" spans="11:11" x14ac:dyDescent="0.2">
      <c r="K53" t="s">
        <v>184</v>
      </c>
    </row>
    <row r="54" spans="11:11" x14ac:dyDescent="0.2">
      <c r="K54" t="s">
        <v>185</v>
      </c>
    </row>
    <row r="55" spans="11:11" x14ac:dyDescent="0.2">
      <c r="K55" t="s">
        <v>186</v>
      </c>
    </row>
    <row r="56" spans="11:11" x14ac:dyDescent="0.2">
      <c r="K56" t="s">
        <v>187</v>
      </c>
    </row>
    <row r="57" spans="11:11" x14ac:dyDescent="0.2">
      <c r="K57" s="7" t="s">
        <v>188</v>
      </c>
    </row>
    <row r="58" spans="11:11" x14ac:dyDescent="0.2">
      <c r="K58" t="s">
        <v>189</v>
      </c>
    </row>
    <row r="59" spans="11:11" x14ac:dyDescent="0.2">
      <c r="K59" t="s">
        <v>190</v>
      </c>
    </row>
    <row r="60" spans="11:11" x14ac:dyDescent="0.2">
      <c r="K60" t="s">
        <v>191</v>
      </c>
    </row>
    <row r="61" spans="11:11" x14ac:dyDescent="0.2">
      <c r="K61" t="s">
        <v>192</v>
      </c>
    </row>
    <row r="62" spans="11:11" x14ac:dyDescent="0.2">
      <c r="K62" t="s">
        <v>193</v>
      </c>
    </row>
    <row r="63" spans="11:11" x14ac:dyDescent="0.2">
      <c r="K63" t="s">
        <v>194</v>
      </c>
    </row>
    <row r="64" spans="11:11" x14ac:dyDescent="0.2">
      <c r="K64" t="s">
        <v>195</v>
      </c>
    </row>
    <row r="65" spans="11:11" x14ac:dyDescent="0.2">
      <c r="K65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6D-98AC-4F00-80A4-522691D39E31}">
  <dimension ref="A1:DR125"/>
  <sheetViews>
    <sheetView tabSelected="1" zoomScaleNormal="100" workbookViewId="0">
      <pane xSplit="2" ySplit="2" topLeftCell="P66" activePane="bottomRight" state="frozen"/>
      <selection pane="topRight" activeCell="C1" sqref="C1"/>
      <selection pane="bottomLeft" activeCell="A4" sqref="A4"/>
      <selection pane="bottomRight" activeCell="AJ101" sqref="AJ101"/>
    </sheetView>
  </sheetViews>
  <sheetFormatPr defaultColWidth="8.85546875" defaultRowHeight="12.75" x14ac:dyDescent="0.2"/>
  <cols>
    <col min="1" max="1" width="5" bestFit="1" customWidth="1"/>
    <col min="2" max="2" width="18.7109375" customWidth="1"/>
    <col min="3" max="6" width="8.85546875" style="2"/>
    <col min="7" max="21" width="9.140625" style="2"/>
    <col min="22" max="22" width="8.7109375" style="2" customWidth="1"/>
    <col min="23" max="30" width="9.140625" style="2"/>
    <col min="31" max="31" width="8.28515625" style="2" customWidth="1"/>
    <col min="32" max="39" width="8.85546875" style="2"/>
    <col min="57" max="57" width="9.140625" customWidth="1"/>
    <col min="64" max="65" width="9.28515625" customWidth="1"/>
    <col min="66" max="70" width="9.42578125" customWidth="1"/>
    <col min="73" max="73" width="10.5703125" customWidth="1"/>
  </cols>
  <sheetData>
    <row r="1" spans="1:70" x14ac:dyDescent="0.2">
      <c r="A1" s="12" t="s">
        <v>7</v>
      </c>
    </row>
    <row r="2" spans="1:70" x14ac:dyDescent="0.2">
      <c r="C2" s="2" t="s">
        <v>276</v>
      </c>
      <c r="D2" s="2" t="s">
        <v>277</v>
      </c>
      <c r="E2" s="2" t="s">
        <v>278</v>
      </c>
      <c r="F2" s="2" t="s">
        <v>279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6</v>
      </c>
      <c r="T2" s="2" t="s">
        <v>17</v>
      </c>
      <c r="U2" s="2" t="s">
        <v>18</v>
      </c>
      <c r="V2" s="2" t="s">
        <v>19</v>
      </c>
      <c r="W2" s="2" t="s">
        <v>96</v>
      </c>
      <c r="X2" s="2" t="s">
        <v>97</v>
      </c>
      <c r="Y2" s="2" t="s">
        <v>98</v>
      </c>
      <c r="Z2" s="2" t="s">
        <v>99</v>
      </c>
      <c r="AA2" s="2" t="s">
        <v>201</v>
      </c>
      <c r="AB2" s="2" t="s">
        <v>202</v>
      </c>
      <c r="AC2" s="2" t="s">
        <v>203</v>
      </c>
      <c r="AD2" s="2" t="s">
        <v>204</v>
      </c>
      <c r="AE2" s="2" t="s">
        <v>234</v>
      </c>
      <c r="AF2" s="2" t="s">
        <v>235</v>
      </c>
      <c r="AG2" s="2" t="s">
        <v>236</v>
      </c>
      <c r="AH2" s="2" t="s">
        <v>237</v>
      </c>
      <c r="AI2" s="2" t="s">
        <v>264</v>
      </c>
      <c r="AJ2" s="2" t="s">
        <v>265</v>
      </c>
      <c r="AK2" s="2" t="s">
        <v>266</v>
      </c>
      <c r="AL2" s="2" t="s">
        <v>267</v>
      </c>
      <c r="AN2">
        <v>2005</v>
      </c>
      <c r="AO2">
        <v>2006</v>
      </c>
      <c r="AP2">
        <v>2007</v>
      </c>
      <c r="AQ2">
        <v>2008</v>
      </c>
      <c r="AR2">
        <v>2009</v>
      </c>
      <c r="AS2">
        <v>2010</v>
      </c>
      <c r="AT2">
        <v>2011</v>
      </c>
      <c r="AU2">
        <v>2012</v>
      </c>
      <c r="AV2">
        <v>2013</v>
      </c>
      <c r="AW2">
        <v>2014</v>
      </c>
      <c r="AX2">
        <v>2015</v>
      </c>
      <c r="AY2">
        <v>2016</v>
      </c>
      <c r="AZ2">
        <v>2017</v>
      </c>
      <c r="BA2">
        <v>2018</v>
      </c>
      <c r="BB2">
        <v>2019</v>
      </c>
      <c r="BC2">
        <v>2020</v>
      </c>
      <c r="BD2">
        <v>2021</v>
      </c>
      <c r="BE2">
        <f>BD2+1</f>
        <v>2022</v>
      </c>
      <c r="BF2">
        <f t="shared" ref="BF2:BR2" si="0">BE2+1</f>
        <v>2023</v>
      </c>
      <c r="BG2">
        <f t="shared" si="0"/>
        <v>2024</v>
      </c>
      <c r="BH2">
        <f t="shared" si="0"/>
        <v>2025</v>
      </c>
      <c r="BI2">
        <f t="shared" si="0"/>
        <v>2026</v>
      </c>
      <c r="BJ2">
        <f t="shared" si="0"/>
        <v>2027</v>
      </c>
      <c r="BK2">
        <f t="shared" si="0"/>
        <v>2028</v>
      </c>
      <c r="BL2">
        <f t="shared" si="0"/>
        <v>2029</v>
      </c>
      <c r="BM2">
        <f t="shared" si="0"/>
        <v>2030</v>
      </c>
      <c r="BN2">
        <f t="shared" si="0"/>
        <v>2031</v>
      </c>
      <c r="BO2">
        <f t="shared" si="0"/>
        <v>2032</v>
      </c>
      <c r="BP2">
        <f t="shared" si="0"/>
        <v>2033</v>
      </c>
      <c r="BQ2">
        <f t="shared" si="0"/>
        <v>2034</v>
      </c>
      <c r="BR2">
        <f t="shared" si="0"/>
        <v>2035</v>
      </c>
    </row>
    <row r="3" spans="1:70" x14ac:dyDescent="0.2">
      <c r="B3" t="s">
        <v>269</v>
      </c>
      <c r="AI3" s="2">
        <v>460</v>
      </c>
      <c r="AJ3" s="2">
        <v>514</v>
      </c>
    </row>
    <row r="4" spans="1:70" s="3" customFormat="1" x14ac:dyDescent="0.2">
      <c r="B4" s="3" t="s">
        <v>197</v>
      </c>
      <c r="C4" s="11">
        <v>14144</v>
      </c>
      <c r="D4" s="11">
        <v>14933</v>
      </c>
      <c r="E4" s="11">
        <v>15523</v>
      </c>
      <c r="F4" s="11">
        <v>18669</v>
      </c>
      <c r="G4" s="11">
        <v>16532</v>
      </c>
      <c r="H4" s="11">
        <v>17863</v>
      </c>
      <c r="I4" s="11">
        <v>18711</v>
      </c>
      <c r="J4" s="11">
        <v>21737</v>
      </c>
      <c r="K4" s="11">
        <v>18870</v>
      </c>
      <c r="L4" s="11">
        <v>17999</v>
      </c>
      <c r="M4" s="11">
        <v>21442</v>
      </c>
      <c r="N4" s="11">
        <v>26703</v>
      </c>
      <c r="O4" s="11">
        <v>25032</v>
      </c>
      <c r="P4" s="11">
        <v>28208</v>
      </c>
      <c r="Q4" s="11">
        <v>29824</v>
      </c>
      <c r="R4" s="11">
        <v>34790</v>
      </c>
      <c r="S4" s="11">
        <v>31733</v>
      </c>
      <c r="T4" s="11">
        <v>32727</v>
      </c>
      <c r="U4" s="11">
        <v>33372</v>
      </c>
      <c r="V4" s="11">
        <v>36982</v>
      </c>
      <c r="W4" s="11">
        <v>32864</v>
      </c>
      <c r="X4" s="11">
        <v>35073</v>
      </c>
      <c r="Y4" s="11">
        <v>36354</v>
      </c>
      <c r="Z4" s="11">
        <v>41995</v>
      </c>
      <c r="AA4" s="11">
        <v>38737</v>
      </c>
      <c r="AB4" s="11">
        <v>41196</v>
      </c>
      <c r="AC4" s="11">
        <v>43139</v>
      </c>
      <c r="AD4" s="11">
        <v>47375</v>
      </c>
      <c r="AE4" s="11">
        <v>43964</v>
      </c>
      <c r="AF4" s="11">
        <v>46063</v>
      </c>
      <c r="AG4" s="11">
        <v>48758</v>
      </c>
      <c r="AH4" s="11">
        <v>55444</v>
      </c>
      <c r="AI4" s="11">
        <v>53975</v>
      </c>
      <c r="AJ4" s="11">
        <v>60846</v>
      </c>
      <c r="AK4" s="11"/>
      <c r="AL4" s="11"/>
      <c r="AM4" s="11"/>
      <c r="AT4" s="3">
        <v>17560</v>
      </c>
      <c r="AU4" s="3">
        <v>21287</v>
      </c>
      <c r="AV4" s="3">
        <v>25587</v>
      </c>
      <c r="AW4" s="3">
        <v>29482</v>
      </c>
      <c r="AX4" s="3">
        <v>34810</v>
      </c>
      <c r="AY4" s="3">
        <v>42781</v>
      </c>
      <c r="AZ4" s="3">
        <v>52449</v>
      </c>
      <c r="BA4" s="3">
        <v>63269</v>
      </c>
      <c r="BB4" s="3">
        <f>SUM(G4:J4)</f>
        <v>74843</v>
      </c>
      <c r="BC4" s="3">
        <f>SUM(K4:N4)</f>
        <v>85014</v>
      </c>
      <c r="BD4" s="3">
        <f>SUM(O4:R4)</f>
        <v>117854</v>
      </c>
      <c r="BE4" s="3">
        <f>SUM(S4:V4)</f>
        <v>134814</v>
      </c>
      <c r="BF4" s="3">
        <f>SUM(W4:Z4)</f>
        <v>146286</v>
      </c>
      <c r="BG4" s="3">
        <f>SUM(AA4:AD4)</f>
        <v>170447</v>
      </c>
      <c r="BH4" s="3">
        <f>SUM(AE4:AH4)</f>
        <v>194229</v>
      </c>
    </row>
    <row r="5" spans="1:70" s="3" customFormat="1" x14ac:dyDescent="0.2">
      <c r="B5" s="3" t="s">
        <v>280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T5" s="3">
        <v>4057</v>
      </c>
      <c r="AU5" s="3">
        <v>4846</v>
      </c>
      <c r="AV5" s="3">
        <v>5600</v>
      </c>
      <c r="AW5" s="3">
        <v>6483</v>
      </c>
      <c r="AX5" s="3">
        <v>7067</v>
      </c>
      <c r="AY5" s="3">
        <v>7787</v>
      </c>
    </row>
    <row r="6" spans="1:70" s="3" customFormat="1" x14ac:dyDescent="0.2">
      <c r="B6" s="3" t="s">
        <v>281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T6" s="3">
        <v>16288</v>
      </c>
      <c r="AU6" s="3">
        <v>19906</v>
      </c>
      <c r="AV6" s="3">
        <v>24332</v>
      </c>
      <c r="AW6" s="3">
        <v>30036</v>
      </c>
      <c r="AX6" s="3">
        <v>33112</v>
      </c>
      <c r="AY6" s="3">
        <v>39704</v>
      </c>
    </row>
    <row r="7" spans="1:70" s="3" customFormat="1" x14ac:dyDescent="0.2">
      <c r="B7" s="3" t="s">
        <v>198</v>
      </c>
      <c r="C7" s="11">
        <v>10474</v>
      </c>
      <c r="D7" s="11">
        <v>10785</v>
      </c>
      <c r="E7" s="11">
        <v>10958</v>
      </c>
      <c r="F7" s="11">
        <v>12350</v>
      </c>
      <c r="G7" s="11">
        <v>11668</v>
      </c>
      <c r="H7" s="11">
        <v>12313</v>
      </c>
      <c r="I7" s="11">
        <v>12565</v>
      </c>
      <c r="J7" s="11">
        <v>14099</v>
      </c>
      <c r="K7" s="11">
        <v>12845</v>
      </c>
      <c r="L7" s="11">
        <v>11363</v>
      </c>
      <c r="M7" s="11">
        <v>13924</v>
      </c>
      <c r="N7" s="11">
        <v>17238</v>
      </c>
      <c r="O7" s="11">
        <v>17031</v>
      </c>
      <c r="P7" s="11">
        <v>19084</v>
      </c>
      <c r="Q7" s="11">
        <v>19839</v>
      </c>
      <c r="R7" s="11">
        <v>23153</v>
      </c>
      <c r="S7" s="11">
        <v>20317</v>
      </c>
      <c r="T7" s="11">
        <v>20533</v>
      </c>
      <c r="U7" s="11">
        <v>19450</v>
      </c>
      <c r="V7" s="11">
        <v>21762</v>
      </c>
      <c r="W7" s="11">
        <v>21078</v>
      </c>
      <c r="X7" s="11">
        <v>22289</v>
      </c>
      <c r="Y7" s="11">
        <v>22661</v>
      </c>
      <c r="Z7" s="11">
        <v>25010</v>
      </c>
      <c r="AA7" s="11">
        <v>23788</v>
      </c>
      <c r="AB7" s="11">
        <v>24683</v>
      </c>
      <c r="AC7" s="11">
        <v>25472</v>
      </c>
      <c r="AD7" s="11">
        <v>28184</v>
      </c>
      <c r="AE7" s="11">
        <v>25923</v>
      </c>
      <c r="AF7" s="11">
        <v>28262</v>
      </c>
      <c r="AG7" s="11">
        <v>29911</v>
      </c>
      <c r="AH7" s="11">
        <v>33056</v>
      </c>
      <c r="AI7" s="11">
        <v>31468</v>
      </c>
      <c r="AJ7" s="11">
        <v>32501</v>
      </c>
      <c r="AK7" s="11"/>
      <c r="AL7" s="11"/>
      <c r="AM7" s="11"/>
      <c r="AX7" s="3">
        <v>26368</v>
      </c>
      <c r="AY7" s="3">
        <v>30304</v>
      </c>
      <c r="AZ7" s="3">
        <v>36046</v>
      </c>
      <c r="BA7" s="3">
        <v>44567</v>
      </c>
      <c r="BB7" s="3">
        <f>SUM(G7:J7)</f>
        <v>50645</v>
      </c>
      <c r="BC7" s="3">
        <f>SUM(K7:N7)</f>
        <v>55370</v>
      </c>
      <c r="BD7" s="3">
        <f>SUM(O7:R7)</f>
        <v>79107</v>
      </c>
      <c r="BE7" s="3">
        <f>SUM(S7:V7)</f>
        <v>82062</v>
      </c>
      <c r="BF7" s="3">
        <f>SUM(W7:Z7)</f>
        <v>91038</v>
      </c>
      <c r="BG7" s="3">
        <f>SUM(AA7:AD7)</f>
        <v>102127</v>
      </c>
      <c r="BH7" s="3">
        <f>SUM(AE7:AH7)</f>
        <v>117152</v>
      </c>
    </row>
    <row r="8" spans="1:70" s="3" customFormat="1" x14ac:dyDescent="0.2">
      <c r="B8" s="3" t="s">
        <v>199</v>
      </c>
      <c r="C8" s="11">
        <v>4804</v>
      </c>
      <c r="D8" s="11">
        <v>5090</v>
      </c>
      <c r="E8" s="11">
        <v>5424</v>
      </c>
      <c r="F8" s="11">
        <v>6056</v>
      </c>
      <c r="G8" s="11">
        <v>6096</v>
      </c>
      <c r="H8" s="11">
        <v>6536</v>
      </c>
      <c r="I8" s="11">
        <v>6814</v>
      </c>
      <c r="J8" s="11">
        <v>7482</v>
      </c>
      <c r="K8" s="11">
        <v>7238</v>
      </c>
      <c r="L8" s="11">
        <v>6945</v>
      </c>
      <c r="M8" s="11">
        <v>8458</v>
      </c>
      <c r="N8" s="11">
        <v>9909</v>
      </c>
      <c r="O8" s="11">
        <v>10455</v>
      </c>
      <c r="P8" s="11">
        <v>11231</v>
      </c>
      <c r="Q8" s="11">
        <v>11705</v>
      </c>
      <c r="R8" s="11">
        <v>12732</v>
      </c>
      <c r="S8" s="11">
        <v>11841</v>
      </c>
      <c r="T8" s="11">
        <v>11710</v>
      </c>
      <c r="U8" s="11">
        <v>11494</v>
      </c>
      <c r="V8" s="11">
        <v>11979</v>
      </c>
      <c r="W8" s="11">
        <v>11681</v>
      </c>
      <c r="X8" s="11">
        <v>12728</v>
      </c>
      <c r="Y8" s="11">
        <v>13126</v>
      </c>
      <c r="Z8" s="11">
        <v>13979</v>
      </c>
      <c r="AA8" s="11">
        <v>13289</v>
      </c>
      <c r="AB8" s="11">
        <v>13823</v>
      </c>
      <c r="AC8" s="11">
        <v>14547</v>
      </c>
      <c r="AD8" s="11">
        <v>15156</v>
      </c>
      <c r="AE8" s="11">
        <v>14854</v>
      </c>
      <c r="AF8" s="11">
        <v>16480</v>
      </c>
      <c r="AG8" s="11">
        <v>17819</v>
      </c>
      <c r="AH8" s="11">
        <v>18527</v>
      </c>
      <c r="AI8" s="11">
        <v>16288</v>
      </c>
      <c r="AJ8" s="11">
        <v>19317</v>
      </c>
      <c r="AK8" s="11"/>
      <c r="AL8" s="11"/>
      <c r="AM8" s="11"/>
      <c r="AX8" s="3">
        <v>9887</v>
      </c>
      <c r="AY8" s="3">
        <v>12559</v>
      </c>
      <c r="AZ8" s="3">
        <v>16235</v>
      </c>
      <c r="BA8" s="3">
        <v>21374</v>
      </c>
      <c r="BB8" s="3">
        <f>SUM(G8:J8)</f>
        <v>26928</v>
      </c>
      <c r="BC8" s="3">
        <f>SUM(K8:N8)</f>
        <v>32550</v>
      </c>
      <c r="BD8" s="3">
        <f>SUM(O8:R8)</f>
        <v>46123</v>
      </c>
      <c r="BE8" s="3">
        <f>SUM(S8:V8)</f>
        <v>47024</v>
      </c>
      <c r="BF8" s="3">
        <f>SUM(W8:Z8)</f>
        <v>51514</v>
      </c>
      <c r="BG8" s="3">
        <f>SUM(AA8:AD8)</f>
        <v>56815</v>
      </c>
      <c r="BH8" s="3">
        <f>SUM(AE8:AH8)</f>
        <v>67680</v>
      </c>
    </row>
    <row r="9" spans="1:70" s="3" customFormat="1" x14ac:dyDescent="0.2">
      <c r="B9" s="3" t="s">
        <v>200</v>
      </c>
      <c r="C9" s="11">
        <v>1724</v>
      </c>
      <c r="D9" s="11">
        <v>1849</v>
      </c>
      <c r="E9" s="11">
        <v>1835</v>
      </c>
      <c r="F9" s="11">
        <v>2201</v>
      </c>
      <c r="G9" s="11">
        <v>1906</v>
      </c>
      <c r="H9" s="11">
        <v>2124</v>
      </c>
      <c r="I9" s="11">
        <v>2290</v>
      </c>
      <c r="J9" s="11">
        <v>2666</v>
      </c>
      <c r="K9" s="11">
        <v>2157</v>
      </c>
      <c r="L9" s="11">
        <v>1839</v>
      </c>
      <c r="M9" s="11">
        <v>2371</v>
      </c>
      <c r="N9" s="11">
        <v>3050</v>
      </c>
      <c r="O9" s="11">
        <v>2905</v>
      </c>
      <c r="P9" s="11">
        <v>3364</v>
      </c>
      <c r="Q9" s="11">
        <v>3688</v>
      </c>
      <c r="R9" s="11">
        <v>4447</v>
      </c>
      <c r="S9" s="11">
        <v>3842</v>
      </c>
      <c r="T9" s="11">
        <v>4340</v>
      </c>
      <c r="U9" s="11">
        <v>4138</v>
      </c>
      <c r="V9" s="11">
        <v>4656</v>
      </c>
      <c r="W9" s="11">
        <v>4080</v>
      </c>
      <c r="X9" s="11">
        <v>4511</v>
      </c>
      <c r="Y9" s="11">
        <v>4553</v>
      </c>
      <c r="Z9" s="11">
        <v>5176</v>
      </c>
      <c r="AA9" s="11">
        <v>4653</v>
      </c>
      <c r="AB9" s="11">
        <v>4938</v>
      </c>
      <c r="AC9" s="11">
        <v>5093</v>
      </c>
      <c r="AD9" s="11">
        <v>5734</v>
      </c>
      <c r="AE9" s="11">
        <v>5233</v>
      </c>
      <c r="AF9" s="11">
        <v>5735</v>
      </c>
      <c r="AG9" s="11">
        <v>6065</v>
      </c>
      <c r="AH9" s="11">
        <v>6869</v>
      </c>
      <c r="AI9" s="11">
        <v>6345</v>
      </c>
      <c r="AJ9" s="11">
        <v>7026</v>
      </c>
      <c r="AK9" s="11"/>
      <c r="AL9" s="11"/>
      <c r="AM9" s="11"/>
      <c r="AX9" s="3">
        <v>3924</v>
      </c>
      <c r="AY9" s="3">
        <v>4628</v>
      </c>
      <c r="AZ9" s="3">
        <v>6125</v>
      </c>
      <c r="BA9" s="3">
        <v>7609</v>
      </c>
      <c r="BB9" s="3">
        <f>SUM(G9:J9)</f>
        <v>8986</v>
      </c>
      <c r="BC9" s="3">
        <f>SUM(K9:N9)</f>
        <v>9417</v>
      </c>
      <c r="BD9" s="3">
        <f>SUM(O9:R9)</f>
        <v>14404</v>
      </c>
      <c r="BE9" s="3">
        <f>SUM(S9:V9)</f>
        <v>16976</v>
      </c>
      <c r="BF9" s="3">
        <f>SUM(W9:Z9)</f>
        <v>18320</v>
      </c>
      <c r="BG9" s="3">
        <f>SUM(AA9:AD9)</f>
        <v>20418</v>
      </c>
      <c r="BH9" s="3">
        <f>SUM(AE9:AH9)</f>
        <v>23902</v>
      </c>
    </row>
    <row r="10" spans="1:70" x14ac:dyDescent="0.2">
      <c r="BB10" s="3"/>
    </row>
    <row r="11" spans="1:70" s="3" customFormat="1" x14ac:dyDescent="0.2">
      <c r="B11" s="3" t="s">
        <v>41</v>
      </c>
      <c r="C11" s="11">
        <v>0</v>
      </c>
      <c r="D11" s="11">
        <v>0</v>
      </c>
      <c r="E11" s="11">
        <v>0</v>
      </c>
      <c r="F11" s="11">
        <v>124</v>
      </c>
      <c r="G11" s="11">
        <v>137</v>
      </c>
      <c r="H11" s="11">
        <v>108</v>
      </c>
      <c r="I11" s="11">
        <v>119</v>
      </c>
      <c r="J11" s="11">
        <v>91</v>
      </c>
      <c r="K11" s="11">
        <v>49</v>
      </c>
      <c r="L11" s="11">
        <v>151</v>
      </c>
      <c r="M11" s="11">
        <v>-22</v>
      </c>
      <c r="N11" s="11">
        <v>-2</v>
      </c>
      <c r="O11" s="11">
        <v>-109</v>
      </c>
      <c r="P11" s="11">
        <v>-7</v>
      </c>
      <c r="Q11" s="11">
        <v>62</v>
      </c>
      <c r="R11" s="11">
        <v>203</v>
      </c>
      <c r="S11" s="11">
        <v>278</v>
      </c>
      <c r="T11" s="11">
        <v>375</v>
      </c>
      <c r="U11" s="11">
        <v>638</v>
      </c>
      <c r="V11" s="11">
        <v>669</v>
      </c>
      <c r="W11" s="11">
        <v>84</v>
      </c>
      <c r="X11" s="11">
        <v>3</v>
      </c>
      <c r="Y11" s="11">
        <v>-1</v>
      </c>
      <c r="Z11" s="11">
        <v>150</v>
      </c>
      <c r="AA11" s="11">
        <v>72</v>
      </c>
      <c r="AB11" s="11">
        <v>102</v>
      </c>
      <c r="AC11" s="11">
        <v>17</v>
      </c>
      <c r="AD11" s="11">
        <v>20</v>
      </c>
      <c r="AE11" s="11">
        <v>260</v>
      </c>
      <c r="AF11" s="11">
        <v>-112</v>
      </c>
      <c r="AG11" s="11">
        <v>-207</v>
      </c>
      <c r="AH11" s="11">
        <v>-68</v>
      </c>
      <c r="AI11" s="11">
        <v>-180</v>
      </c>
      <c r="AJ11" s="11">
        <v>106</v>
      </c>
      <c r="AK11" s="11">
        <f t="shared" ref="AK11:AK12" si="1">+AG11*1.1</f>
        <v>-227.70000000000002</v>
      </c>
      <c r="AL11" s="11">
        <f t="shared" ref="AL11:AL12" si="2">+AH11*1.1</f>
        <v>-74.800000000000011</v>
      </c>
      <c r="AM11" s="11"/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-169</v>
      </c>
      <c r="BA11" s="3">
        <v>-138</v>
      </c>
      <c r="BB11" s="3">
        <f t="shared" ref="BB11:BB17" si="3">SUM(G11:J11)</f>
        <v>455</v>
      </c>
      <c r="BC11" s="3">
        <f t="shared" ref="BC11:BC17" si="4">SUM(K11:N11)</f>
        <v>176</v>
      </c>
      <c r="BD11" s="3">
        <f t="shared" ref="BD11:BD17" si="5">SUM(O11:R11)</f>
        <v>149</v>
      </c>
      <c r="BE11" s="3">
        <f t="shared" ref="BE11:BE17" si="6">SUM(S11:V11)</f>
        <v>1960</v>
      </c>
      <c r="BF11" s="3">
        <f t="shared" ref="BF11:BF21" si="7">SUM(W11:Z11)</f>
        <v>236</v>
      </c>
      <c r="BG11" s="3">
        <f t="shared" ref="BG11:BG21" si="8">SUM(AA11:AD11)</f>
        <v>211</v>
      </c>
      <c r="BH11" s="3">
        <f t="shared" ref="BH11:BH18" si="9">SUM(AE11:AH11)</f>
        <v>-127</v>
      </c>
      <c r="BI11" s="3">
        <f>SUM(AI11:AL11)</f>
        <v>-376.50000000000006</v>
      </c>
    </row>
    <row r="12" spans="1:70" s="3" customFormat="1" x14ac:dyDescent="0.2">
      <c r="B12" s="3" t="s">
        <v>40</v>
      </c>
      <c r="C12" s="11">
        <v>150</v>
      </c>
      <c r="D12" s="11">
        <v>145</v>
      </c>
      <c r="E12" s="11">
        <v>146</v>
      </c>
      <c r="F12" s="11">
        <v>154</v>
      </c>
      <c r="G12" s="11">
        <v>170</v>
      </c>
      <c r="H12" s="11">
        <v>162</v>
      </c>
      <c r="I12" s="11">
        <v>155</v>
      </c>
      <c r="J12" s="11">
        <v>172</v>
      </c>
      <c r="K12" s="11">
        <v>135</v>
      </c>
      <c r="L12" s="11">
        <v>148</v>
      </c>
      <c r="M12" s="11">
        <v>178</v>
      </c>
      <c r="N12" s="11">
        <v>196</v>
      </c>
      <c r="O12" s="11">
        <v>198</v>
      </c>
      <c r="P12" s="11">
        <v>192</v>
      </c>
      <c r="Q12" s="11">
        <v>182</v>
      </c>
      <c r="R12" s="11">
        <v>181</v>
      </c>
      <c r="S12" s="11">
        <v>440</v>
      </c>
      <c r="T12" s="11">
        <v>193</v>
      </c>
      <c r="U12" s="11">
        <v>209</v>
      </c>
      <c r="V12" s="11">
        <v>226</v>
      </c>
      <c r="W12" s="11">
        <v>288</v>
      </c>
      <c r="X12" s="11">
        <v>285</v>
      </c>
      <c r="Y12" s="11">
        <v>297</v>
      </c>
      <c r="Z12" s="11">
        <v>657</v>
      </c>
      <c r="AA12" s="11">
        <v>495</v>
      </c>
      <c r="AB12" s="11">
        <v>365</v>
      </c>
      <c r="AC12" s="11">
        <v>388</v>
      </c>
      <c r="AD12" s="11">
        <v>400</v>
      </c>
      <c r="AE12" s="11">
        <v>450</v>
      </c>
      <c r="AF12" s="11">
        <v>373</v>
      </c>
      <c r="AG12" s="11">
        <v>344</v>
      </c>
      <c r="AH12" s="11">
        <v>370</v>
      </c>
      <c r="AI12" s="11">
        <v>411</v>
      </c>
      <c r="AJ12" s="11">
        <v>382</v>
      </c>
      <c r="AK12" s="11">
        <f t="shared" si="1"/>
        <v>378.40000000000003</v>
      </c>
      <c r="AL12" s="11">
        <f t="shared" si="2"/>
        <v>407.00000000000006</v>
      </c>
      <c r="AM12" s="11"/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12</v>
      </c>
      <c r="AW12" s="3">
        <v>327</v>
      </c>
      <c r="AX12" s="3">
        <v>445</v>
      </c>
      <c r="AY12" s="3">
        <v>288</v>
      </c>
      <c r="AZ12" s="3">
        <v>477</v>
      </c>
      <c r="BA12" s="3">
        <v>595</v>
      </c>
      <c r="BB12" s="3">
        <f t="shared" si="3"/>
        <v>659</v>
      </c>
      <c r="BC12" s="3">
        <f t="shared" si="4"/>
        <v>657</v>
      </c>
      <c r="BD12" s="3">
        <f t="shared" si="5"/>
        <v>753</v>
      </c>
      <c r="BE12" s="3">
        <f t="shared" si="6"/>
        <v>1068</v>
      </c>
      <c r="BF12" s="3">
        <f t="shared" si="7"/>
        <v>1527</v>
      </c>
      <c r="BG12" s="3">
        <f t="shared" si="8"/>
        <v>1648</v>
      </c>
      <c r="BH12" s="3">
        <f t="shared" si="9"/>
        <v>1537</v>
      </c>
      <c r="BI12" s="3">
        <f>SUM(AI12:AL12)</f>
        <v>1578.4</v>
      </c>
      <c r="BJ12" s="3">
        <f t="shared" ref="BJ12:BM12" si="10">+BI12*1.01</f>
        <v>1594.1840000000002</v>
      </c>
      <c r="BK12" s="3">
        <f t="shared" si="10"/>
        <v>1610.1258400000002</v>
      </c>
      <c r="BL12" s="3">
        <f t="shared" si="10"/>
        <v>1626.2270984000002</v>
      </c>
      <c r="BM12" s="3">
        <f t="shared" si="10"/>
        <v>1642.4893693840002</v>
      </c>
      <c r="BN12" s="3">
        <f t="shared" ref="BN12" si="11">+BM12*1.01</f>
        <v>1658.9142630778401</v>
      </c>
      <c r="BO12" s="3">
        <f t="shared" ref="BO12" si="12">+BN12*1.01</f>
        <v>1675.5034057086186</v>
      </c>
      <c r="BP12" s="3">
        <f t="shared" ref="BP12" si="13">+BO12*1.01</f>
        <v>1692.2584397657049</v>
      </c>
      <c r="BQ12" s="3">
        <f t="shared" ref="BQ12" si="14">+BP12*1.01</f>
        <v>1709.1810241633621</v>
      </c>
      <c r="BR12" s="3">
        <f t="shared" ref="BR12" si="15">+BQ12*1.01</f>
        <v>1726.2728344049956</v>
      </c>
    </row>
    <row r="13" spans="1:70" s="3" customFormat="1" x14ac:dyDescent="0.2">
      <c r="B13" s="3" t="s">
        <v>39</v>
      </c>
      <c r="C13" s="11">
        <v>0</v>
      </c>
      <c r="D13" s="11">
        <v>0</v>
      </c>
      <c r="E13" s="11">
        <v>0</v>
      </c>
      <c r="F13" s="11">
        <v>1709</v>
      </c>
      <c r="G13" s="11">
        <v>1825</v>
      </c>
      <c r="H13" s="11">
        <v>2100</v>
      </c>
      <c r="I13" s="11">
        <v>2379</v>
      </c>
      <c r="J13" s="11">
        <v>2614</v>
      </c>
      <c r="K13" s="11">
        <v>2777</v>
      </c>
      <c r="L13" s="11">
        <v>3007</v>
      </c>
      <c r="M13" s="11">
        <v>3444</v>
      </c>
      <c r="N13" s="11">
        <v>3831</v>
      </c>
      <c r="O13" s="11">
        <v>4047</v>
      </c>
      <c r="P13" s="11">
        <v>4628</v>
      </c>
      <c r="Q13" s="11">
        <v>4990</v>
      </c>
      <c r="R13" s="11">
        <v>5541</v>
      </c>
      <c r="S13" s="11">
        <v>5821</v>
      </c>
      <c r="T13" s="11">
        <v>6276</v>
      </c>
      <c r="U13" s="11">
        <v>6868</v>
      </c>
      <c r="V13" s="11">
        <v>7315</v>
      </c>
      <c r="W13" s="11">
        <v>7454</v>
      </c>
      <c r="X13" s="11">
        <v>8031</v>
      </c>
      <c r="Y13" s="11">
        <v>8411</v>
      </c>
      <c r="Z13" s="11">
        <v>9192</v>
      </c>
      <c r="AA13" s="11">
        <v>9574</v>
      </c>
      <c r="AB13" s="11">
        <v>10347</v>
      </c>
      <c r="AC13" s="11">
        <v>11353</v>
      </c>
      <c r="AD13" s="11">
        <v>11955</v>
      </c>
      <c r="AE13" s="11">
        <v>12260</v>
      </c>
      <c r="AF13" s="11">
        <v>13624</v>
      </c>
      <c r="AG13" s="11">
        <v>15157</v>
      </c>
      <c r="AH13" s="11">
        <v>17664</v>
      </c>
      <c r="AI13" s="11">
        <v>20028</v>
      </c>
      <c r="AJ13" s="11">
        <v>24768</v>
      </c>
      <c r="AK13" s="11">
        <f t="shared" ref="AK13:AL13" si="16">+AJ13+3000</f>
        <v>27768</v>
      </c>
      <c r="AL13" s="11">
        <f t="shared" si="16"/>
        <v>30768</v>
      </c>
      <c r="AM13" s="11"/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4056</v>
      </c>
      <c r="BA13" s="3">
        <v>5838</v>
      </c>
      <c r="BB13" s="3">
        <f t="shared" si="3"/>
        <v>8918</v>
      </c>
      <c r="BC13" s="3">
        <f t="shared" si="4"/>
        <v>13059</v>
      </c>
      <c r="BD13" s="3">
        <f t="shared" si="5"/>
        <v>19206</v>
      </c>
      <c r="BE13" s="3">
        <f t="shared" si="6"/>
        <v>26280</v>
      </c>
      <c r="BF13" s="3">
        <f t="shared" si="7"/>
        <v>33088</v>
      </c>
      <c r="BG13" s="3">
        <f t="shared" si="8"/>
        <v>43229</v>
      </c>
      <c r="BH13" s="3">
        <f t="shared" si="9"/>
        <v>58705</v>
      </c>
      <c r="BI13" s="3">
        <f>SUM(AI13:AL13)</f>
        <v>103332</v>
      </c>
      <c r="BJ13" s="3">
        <f>+BI13*1.3</f>
        <v>134331.6</v>
      </c>
      <c r="BK13" s="3">
        <f>+BJ13*1.1</f>
        <v>147764.76</v>
      </c>
      <c r="BL13" s="3">
        <f>+BK13*1.1</f>
        <v>162541.23600000003</v>
      </c>
      <c r="BM13" s="3">
        <f>+BL13*1.1</f>
        <v>178795.35960000005</v>
      </c>
      <c r="BN13" s="3">
        <f t="shared" ref="BN13:BR13" si="17">+BM13*1.1</f>
        <v>196674.89556000006</v>
      </c>
      <c r="BO13" s="3">
        <f t="shared" si="17"/>
        <v>216342.38511600008</v>
      </c>
      <c r="BP13" s="3">
        <f t="shared" si="17"/>
        <v>237976.62362760011</v>
      </c>
      <c r="BQ13" s="3">
        <f t="shared" si="17"/>
        <v>261774.28599036013</v>
      </c>
      <c r="BR13" s="3">
        <f t="shared" si="17"/>
        <v>287951.71458939614</v>
      </c>
    </row>
    <row r="14" spans="1:70" s="3" customFormat="1" x14ac:dyDescent="0.2">
      <c r="B14" s="3" t="s">
        <v>254</v>
      </c>
      <c r="C14" s="11">
        <v>4354</v>
      </c>
      <c r="D14" s="11">
        <v>4425</v>
      </c>
      <c r="E14" s="11">
        <v>4640</v>
      </c>
      <c r="F14" s="11">
        <v>4771</v>
      </c>
      <c r="G14" s="11">
        <v>3620</v>
      </c>
      <c r="H14" s="11">
        <v>4080</v>
      </c>
      <c r="I14" s="11">
        <v>4050</v>
      </c>
      <c r="J14" s="11">
        <v>5264</v>
      </c>
      <c r="K14" s="11">
        <v>4435</v>
      </c>
      <c r="L14" s="11">
        <v>5124</v>
      </c>
      <c r="M14" s="11">
        <v>5478</v>
      </c>
      <c r="N14" s="11">
        <v>6674</v>
      </c>
      <c r="O14" s="11">
        <v>6494</v>
      </c>
      <c r="P14" s="11">
        <v>6623</v>
      </c>
      <c r="Q14" s="11">
        <v>6754</v>
      </c>
      <c r="R14" s="11">
        <v>8161</v>
      </c>
      <c r="S14" s="11">
        <v>6811</v>
      </c>
      <c r="T14" s="11">
        <v>6553</v>
      </c>
      <c r="U14" s="11">
        <v>6895</v>
      </c>
      <c r="V14" s="11">
        <v>8796</v>
      </c>
      <c r="W14" s="11">
        <v>7413</v>
      </c>
      <c r="X14" s="11">
        <v>8142</v>
      </c>
      <c r="Y14" s="11">
        <v>8339</v>
      </c>
      <c r="Z14" s="11">
        <v>10794</v>
      </c>
      <c r="AA14" s="11">
        <v>8739</v>
      </c>
      <c r="AB14" s="11">
        <v>9312</v>
      </c>
      <c r="AC14" s="11">
        <v>10656</v>
      </c>
      <c r="AD14" s="11">
        <v>11633</v>
      </c>
      <c r="AE14" s="11">
        <v>10379</v>
      </c>
      <c r="AF14" s="11">
        <v>11203</v>
      </c>
      <c r="AG14" s="11">
        <v>12870</v>
      </c>
      <c r="AH14" s="11">
        <v>13578</v>
      </c>
      <c r="AI14" s="11">
        <v>12384</v>
      </c>
      <c r="AJ14" s="11">
        <v>12911</v>
      </c>
      <c r="AK14" s="11">
        <f t="shared" ref="AK14:AL14" si="18">+AG14*1.2</f>
        <v>15444</v>
      </c>
      <c r="AL14" s="11">
        <f t="shared" si="18"/>
        <v>16293.599999999999</v>
      </c>
      <c r="AM14" s="11"/>
      <c r="AP14" s="3">
        <v>181.4</v>
      </c>
      <c r="AQ14" s="3">
        <v>667</v>
      </c>
      <c r="AR14" s="3">
        <v>762</v>
      </c>
      <c r="AS14" s="3">
        <v>1085</v>
      </c>
      <c r="AT14" s="3">
        <v>1374</v>
      </c>
      <c r="AU14" s="3">
        <v>2353</v>
      </c>
      <c r="AV14" s="3">
        <v>4435</v>
      </c>
      <c r="AW14" s="3">
        <v>6050</v>
      </c>
      <c r="AX14" s="3">
        <v>7154</v>
      </c>
      <c r="AY14" s="3">
        <v>10601</v>
      </c>
      <c r="AZ14" s="3">
        <v>10914</v>
      </c>
      <c r="BA14" s="3">
        <v>14063</v>
      </c>
      <c r="BB14" s="3">
        <f t="shared" si="3"/>
        <v>17014</v>
      </c>
      <c r="BC14" s="3">
        <f t="shared" si="4"/>
        <v>21711</v>
      </c>
      <c r="BD14" s="3">
        <f t="shared" si="5"/>
        <v>28032</v>
      </c>
      <c r="BE14" s="3">
        <f t="shared" si="6"/>
        <v>29055</v>
      </c>
      <c r="BF14" s="3">
        <f t="shared" si="7"/>
        <v>34688</v>
      </c>
      <c r="BG14" s="3">
        <f t="shared" si="8"/>
        <v>40340</v>
      </c>
      <c r="BH14" s="3">
        <f t="shared" si="9"/>
        <v>48030</v>
      </c>
      <c r="BI14" s="3">
        <f t="shared" ref="BI14:BI17" si="19">SUM(AI14:AL14)</f>
        <v>57032.6</v>
      </c>
      <c r="BJ14" s="3">
        <f t="shared" ref="BJ14:BM14" si="20">+BI14*1.03</f>
        <v>58743.578000000001</v>
      </c>
      <c r="BK14" s="3">
        <f t="shared" si="20"/>
        <v>60505.885340000001</v>
      </c>
      <c r="BL14" s="3">
        <f t="shared" si="20"/>
        <v>62321.061900200002</v>
      </c>
      <c r="BM14" s="3">
        <f t="shared" si="20"/>
        <v>64190.693757206005</v>
      </c>
      <c r="BN14" s="3">
        <f t="shared" ref="BN14:BN15" si="21">+BM14*1.03</f>
        <v>66116.414569922184</v>
      </c>
      <c r="BO14" s="3">
        <f t="shared" ref="BO14:BO15" si="22">+BN14*1.03</f>
        <v>68099.90700701985</v>
      </c>
      <c r="BP14" s="3">
        <f t="shared" ref="BP14:BP15" si="23">+BO14*1.03</f>
        <v>70142.904217230447</v>
      </c>
      <c r="BQ14" s="3">
        <f t="shared" ref="BQ14:BQ15" si="24">+BP14*1.03</f>
        <v>72247.191343747356</v>
      </c>
      <c r="BR14" s="3">
        <f t="shared" ref="BR14:BR15" si="25">+BQ14*1.03</f>
        <v>74414.607084059782</v>
      </c>
    </row>
    <row r="15" spans="1:70" s="3" customFormat="1" x14ac:dyDescent="0.2">
      <c r="B15" s="3" t="s">
        <v>45</v>
      </c>
      <c r="C15" s="11">
        <v>4644</v>
      </c>
      <c r="D15" s="11">
        <v>4825</v>
      </c>
      <c r="E15" s="11">
        <v>4900</v>
      </c>
      <c r="F15" s="11">
        <v>5593</v>
      </c>
      <c r="G15" s="11">
        <v>5015</v>
      </c>
      <c r="H15" s="11">
        <v>5249</v>
      </c>
      <c r="I15" s="11">
        <v>5251</v>
      </c>
      <c r="J15" s="11">
        <v>6032</v>
      </c>
      <c r="K15" s="11">
        <v>5223</v>
      </c>
      <c r="L15" s="11">
        <v>4736</v>
      </c>
      <c r="M15" s="11">
        <v>5720</v>
      </c>
      <c r="N15" s="11">
        <v>7411</v>
      </c>
      <c r="O15" s="11">
        <v>6800</v>
      </c>
      <c r="P15" s="11">
        <v>7597</v>
      </c>
      <c r="Q15" s="11">
        <v>7999</v>
      </c>
      <c r="R15" s="11">
        <v>9305</v>
      </c>
      <c r="S15" s="11">
        <v>8174</v>
      </c>
      <c r="T15" s="11">
        <v>8259</v>
      </c>
      <c r="U15" s="11">
        <v>7872</v>
      </c>
      <c r="V15" s="11">
        <v>8475</v>
      </c>
      <c r="W15" s="11">
        <v>7496</v>
      </c>
      <c r="X15" s="11">
        <v>7850</v>
      </c>
      <c r="Y15" s="11">
        <v>7669</v>
      </c>
      <c r="Z15" s="11">
        <v>8297</v>
      </c>
      <c r="AA15" s="11">
        <v>7413</v>
      </c>
      <c r="AB15" s="11">
        <v>7444</v>
      </c>
      <c r="AC15" s="11">
        <v>7548</v>
      </c>
      <c r="AD15" s="11">
        <v>7954</v>
      </c>
      <c r="AE15" s="11">
        <v>7256</v>
      </c>
      <c r="AF15" s="11">
        <v>7354</v>
      </c>
      <c r="AG15" s="11">
        <v>7354</v>
      </c>
      <c r="AH15" s="11">
        <v>7828</v>
      </c>
      <c r="AI15" s="11">
        <v>6971</v>
      </c>
      <c r="AJ15" s="11">
        <v>7303</v>
      </c>
      <c r="AK15" s="11">
        <f t="shared" ref="AK15:AK16" si="26">+AG15*1.1</f>
        <v>8089.4000000000005</v>
      </c>
      <c r="AL15" s="11">
        <f t="shared" ref="AL15:AL16" si="27">+AH15*1.1</f>
        <v>8610.8000000000011</v>
      </c>
      <c r="AM15" s="11"/>
      <c r="AP15" s="3">
        <v>5787.9</v>
      </c>
      <c r="AQ15" s="3">
        <v>6715</v>
      </c>
      <c r="AR15" s="3">
        <v>7166</v>
      </c>
      <c r="AS15" s="3">
        <v>8792</v>
      </c>
      <c r="AT15" s="3">
        <v>10386</v>
      </c>
      <c r="AU15" s="3">
        <v>12465</v>
      </c>
      <c r="AV15" s="3">
        <v>13650</v>
      </c>
      <c r="AW15" s="3">
        <v>14539</v>
      </c>
      <c r="AX15" s="3">
        <v>15033</v>
      </c>
      <c r="AY15" s="3">
        <v>15598</v>
      </c>
      <c r="AZ15" s="3">
        <v>17616</v>
      </c>
      <c r="BA15" s="3">
        <v>20010</v>
      </c>
      <c r="BB15" s="3">
        <f t="shared" si="3"/>
        <v>21547</v>
      </c>
      <c r="BC15" s="3">
        <f t="shared" si="4"/>
        <v>23090</v>
      </c>
      <c r="BD15" s="3">
        <f t="shared" si="5"/>
        <v>31701</v>
      </c>
      <c r="BE15" s="3">
        <f t="shared" si="6"/>
        <v>32780</v>
      </c>
      <c r="BF15" s="3">
        <f t="shared" si="7"/>
        <v>31312</v>
      </c>
      <c r="BG15" s="3">
        <f t="shared" si="8"/>
        <v>30359</v>
      </c>
      <c r="BH15" s="3">
        <f t="shared" si="9"/>
        <v>29792</v>
      </c>
      <c r="BI15" s="3">
        <f t="shared" si="19"/>
        <v>30974.200000000004</v>
      </c>
      <c r="BJ15" s="3">
        <f t="shared" ref="BJ15:BM15" si="28">+BI15*1.03</f>
        <v>31903.426000000007</v>
      </c>
      <c r="BK15" s="3">
        <f t="shared" si="28"/>
        <v>32860.528780000008</v>
      </c>
      <c r="BL15" s="3">
        <f t="shared" si="28"/>
        <v>33846.344643400007</v>
      </c>
      <c r="BM15" s="3">
        <f t="shared" si="28"/>
        <v>34861.734982702008</v>
      </c>
      <c r="BN15" s="3">
        <f t="shared" si="21"/>
        <v>35907.587032183066</v>
      </c>
      <c r="BO15" s="3">
        <f t="shared" si="22"/>
        <v>36984.814643148558</v>
      </c>
      <c r="BP15" s="3">
        <f t="shared" si="23"/>
        <v>38094.359082443014</v>
      </c>
      <c r="BQ15" s="3">
        <f t="shared" si="24"/>
        <v>39237.189854916309</v>
      </c>
      <c r="BR15" s="3">
        <f t="shared" si="25"/>
        <v>40414.305550563797</v>
      </c>
    </row>
    <row r="16" spans="1:70" s="3" customFormat="1" x14ac:dyDescent="0.2">
      <c r="B16" s="3" t="s">
        <v>44</v>
      </c>
      <c r="C16" s="11">
        <v>0</v>
      </c>
      <c r="D16" s="11">
        <v>0</v>
      </c>
      <c r="E16" s="11">
        <v>0</v>
      </c>
      <c r="F16" s="11">
        <v>3605</v>
      </c>
      <c r="G16" s="11">
        <v>3025</v>
      </c>
      <c r="H16" s="11">
        <v>3603</v>
      </c>
      <c r="I16" s="11">
        <v>3804</v>
      </c>
      <c r="J16" s="11">
        <v>4717</v>
      </c>
      <c r="K16" s="11">
        <v>4038</v>
      </c>
      <c r="L16" s="11">
        <v>3812</v>
      </c>
      <c r="M16" s="11">
        <v>5037</v>
      </c>
      <c r="N16" s="11">
        <v>6885</v>
      </c>
      <c r="O16" s="11">
        <v>6005</v>
      </c>
      <c r="P16" s="11">
        <v>7002</v>
      </c>
      <c r="Q16" s="11">
        <v>7205</v>
      </c>
      <c r="R16" s="11">
        <v>8633</v>
      </c>
      <c r="S16" s="11">
        <v>6869</v>
      </c>
      <c r="T16" s="11">
        <v>7340</v>
      </c>
      <c r="U16" s="11">
        <v>7071</v>
      </c>
      <c r="V16" s="11">
        <v>7963</v>
      </c>
      <c r="W16" s="11">
        <v>6693</v>
      </c>
      <c r="X16" s="11">
        <v>7665</v>
      </c>
      <c r="Y16" s="11">
        <v>7952</v>
      </c>
      <c r="Z16" s="11">
        <v>9200</v>
      </c>
      <c r="AA16" s="11">
        <v>8090</v>
      </c>
      <c r="AB16" s="11">
        <v>8663</v>
      </c>
      <c r="AC16" s="11">
        <v>8921</v>
      </c>
      <c r="AD16" s="11">
        <v>10473</v>
      </c>
      <c r="AE16" s="11">
        <v>8927</v>
      </c>
      <c r="AF16" s="11">
        <v>9796</v>
      </c>
      <c r="AG16" s="11">
        <v>10261</v>
      </c>
      <c r="AH16" s="11">
        <v>11383</v>
      </c>
      <c r="AI16" s="11">
        <v>9883</v>
      </c>
      <c r="AJ16" s="11">
        <v>11055</v>
      </c>
      <c r="AK16" s="11">
        <f t="shared" si="26"/>
        <v>11287.1</v>
      </c>
      <c r="AL16" s="11">
        <f t="shared" si="27"/>
        <v>12521.300000000001</v>
      </c>
      <c r="AM16" s="11"/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8150</v>
      </c>
      <c r="BA16" s="3">
        <v>11155</v>
      </c>
      <c r="BB16" s="3">
        <f t="shared" si="3"/>
        <v>15149</v>
      </c>
      <c r="BC16" s="3">
        <f t="shared" si="4"/>
        <v>19772</v>
      </c>
      <c r="BD16" s="3">
        <f t="shared" si="5"/>
        <v>28845</v>
      </c>
      <c r="BE16" s="3">
        <f t="shared" si="6"/>
        <v>29243</v>
      </c>
      <c r="BF16" s="3">
        <f t="shared" si="7"/>
        <v>31510</v>
      </c>
      <c r="BG16" s="3">
        <f t="shared" si="8"/>
        <v>36147</v>
      </c>
      <c r="BH16" s="3">
        <f t="shared" si="9"/>
        <v>40367</v>
      </c>
      <c r="BI16" s="3">
        <f t="shared" si="19"/>
        <v>44746.400000000001</v>
      </c>
      <c r="BJ16" s="3">
        <f t="shared" ref="BJ16:BM16" si="29">+BI16*1.05</f>
        <v>46983.72</v>
      </c>
      <c r="BK16" s="3">
        <f t="shared" si="29"/>
        <v>49332.906000000003</v>
      </c>
      <c r="BL16" s="3">
        <f t="shared" si="29"/>
        <v>51799.551300000006</v>
      </c>
      <c r="BM16" s="3">
        <f t="shared" si="29"/>
        <v>54389.528865000007</v>
      </c>
      <c r="BN16" s="3">
        <f t="shared" ref="BN16:BN17" si="30">+BM16*1.05</f>
        <v>57109.005308250009</v>
      </c>
      <c r="BO16" s="3">
        <f t="shared" ref="BO16:BO17" si="31">+BN16*1.05</f>
        <v>59964.455573662512</v>
      </c>
      <c r="BP16" s="3">
        <f t="shared" ref="BP16:BP17" si="32">+BO16*1.05</f>
        <v>62962.67835234564</v>
      </c>
      <c r="BQ16" s="3">
        <f t="shared" ref="BQ16:BQ17" si="33">+BP16*1.05</f>
        <v>66110.812269962931</v>
      </c>
      <c r="BR16" s="3">
        <f t="shared" ref="BR16:BR17" si="34">+BQ16*1.05</f>
        <v>69416.352883461077</v>
      </c>
    </row>
    <row r="17" spans="2:122" s="3" customFormat="1" x14ac:dyDescent="0.2">
      <c r="B17" s="3" t="s">
        <v>46</v>
      </c>
      <c r="C17" s="11">
        <f>21998</f>
        <v>21998</v>
      </c>
      <c r="D17" s="11">
        <v>23262</v>
      </c>
      <c r="E17" s="11">
        <v>24054</v>
      </c>
      <c r="F17" s="11">
        <v>23320</v>
      </c>
      <c r="G17" s="11">
        <v>22547</v>
      </c>
      <c r="H17" s="11">
        <v>23642</v>
      </c>
      <c r="I17" s="11">
        <v>24741</v>
      </c>
      <c r="J17" s="11">
        <v>27185</v>
      </c>
      <c r="K17" s="11">
        <v>24502</v>
      </c>
      <c r="L17" s="11">
        <v>21319</v>
      </c>
      <c r="M17" s="11">
        <v>26338</v>
      </c>
      <c r="N17" s="11">
        <v>31903</v>
      </c>
      <c r="O17" s="11">
        <v>31879</v>
      </c>
      <c r="P17" s="11">
        <v>35845</v>
      </c>
      <c r="Q17" s="11">
        <v>37926</v>
      </c>
      <c r="R17" s="11">
        <v>43301</v>
      </c>
      <c r="S17" s="11">
        <v>39618</v>
      </c>
      <c r="T17" s="11">
        <v>40689</v>
      </c>
      <c r="U17" s="11">
        <v>39539</v>
      </c>
      <c r="V17" s="11">
        <v>42604</v>
      </c>
      <c r="W17" s="11">
        <v>40359</v>
      </c>
      <c r="X17" s="11">
        <v>42628</v>
      </c>
      <c r="Y17" s="11">
        <v>44026</v>
      </c>
      <c r="Z17" s="11">
        <v>48020</v>
      </c>
      <c r="AA17" s="11">
        <v>46156</v>
      </c>
      <c r="AB17" s="11">
        <v>48509</v>
      </c>
      <c r="AC17" s="11">
        <v>49385</v>
      </c>
      <c r="AD17" s="11">
        <v>54034</v>
      </c>
      <c r="AE17" s="11">
        <v>50702</v>
      </c>
      <c r="AF17" s="11">
        <v>54190</v>
      </c>
      <c r="AG17" s="11">
        <v>56567</v>
      </c>
      <c r="AH17" s="11">
        <v>63073</v>
      </c>
      <c r="AI17" s="11">
        <v>60399</v>
      </c>
      <c r="AJ17" s="11">
        <v>63271</v>
      </c>
      <c r="AK17" s="11">
        <f t="shared" ref="AK17:AL17" si="35">+AG17*1.15</f>
        <v>65052.049999999996</v>
      </c>
      <c r="AL17" s="11">
        <f t="shared" si="35"/>
        <v>72533.95</v>
      </c>
      <c r="AM17" s="11"/>
      <c r="AP17" s="3">
        <v>10624.7</v>
      </c>
      <c r="AQ17" s="3">
        <v>14414</v>
      </c>
      <c r="AR17" s="3">
        <v>15723</v>
      </c>
      <c r="AS17" s="3">
        <v>19444</v>
      </c>
      <c r="AT17" s="3">
        <v>26145</v>
      </c>
      <c r="AU17" s="3">
        <v>31221</v>
      </c>
      <c r="AV17" s="3">
        <v>37422</v>
      </c>
      <c r="AW17" s="3">
        <v>45085</v>
      </c>
      <c r="AX17" s="3">
        <v>52357</v>
      </c>
      <c r="AY17" s="3">
        <v>63785</v>
      </c>
      <c r="AZ17" s="3">
        <v>69811</v>
      </c>
      <c r="BA17" s="3">
        <v>85296</v>
      </c>
      <c r="BB17" s="3">
        <f t="shared" si="3"/>
        <v>98115</v>
      </c>
      <c r="BC17" s="3">
        <f t="shared" si="4"/>
        <v>104062</v>
      </c>
      <c r="BD17" s="3">
        <f t="shared" si="5"/>
        <v>148951</v>
      </c>
      <c r="BE17" s="3">
        <f t="shared" si="6"/>
        <v>162450</v>
      </c>
      <c r="BF17" s="3">
        <f t="shared" si="7"/>
        <v>175033</v>
      </c>
      <c r="BG17" s="3">
        <f t="shared" si="8"/>
        <v>198084</v>
      </c>
      <c r="BH17" s="3">
        <f t="shared" si="9"/>
        <v>224532</v>
      </c>
      <c r="BI17" s="3">
        <f t="shared" si="19"/>
        <v>261256</v>
      </c>
      <c r="BJ17" s="3">
        <f t="shared" ref="BJ17" si="36">+BI17*1.1</f>
        <v>287381.60000000003</v>
      </c>
      <c r="BK17" s="3">
        <f>+BJ17*1.07</f>
        <v>307498.31200000003</v>
      </c>
      <c r="BL17" s="3">
        <f>+BK17*1.07</f>
        <v>329023.19384000008</v>
      </c>
      <c r="BM17" s="3">
        <f>+BL17*1.05</f>
        <v>345474.3535320001</v>
      </c>
      <c r="BN17" s="3">
        <f t="shared" si="30"/>
        <v>362748.07120860013</v>
      </c>
      <c r="BO17" s="3">
        <f t="shared" si="31"/>
        <v>380885.47476903017</v>
      </c>
      <c r="BP17" s="3">
        <f t="shared" si="32"/>
        <v>399929.74850748171</v>
      </c>
      <c r="BQ17" s="3">
        <f t="shared" si="33"/>
        <v>419926.23593285581</v>
      </c>
      <c r="BR17" s="3">
        <f t="shared" si="34"/>
        <v>440922.54772949859</v>
      </c>
    </row>
    <row r="18" spans="2:122" s="3" customFormat="1" x14ac:dyDescent="0.2">
      <c r="B18" s="3" t="s">
        <v>38</v>
      </c>
      <c r="C18" s="11">
        <f t="shared" ref="C18:E18" si="37">SUM(C14:C17)</f>
        <v>30996</v>
      </c>
      <c r="D18" s="11">
        <f t="shared" si="37"/>
        <v>32512</v>
      </c>
      <c r="E18" s="11">
        <f t="shared" si="37"/>
        <v>33594</v>
      </c>
      <c r="F18" s="11">
        <f>SUM(F14:F17)</f>
        <v>37289</v>
      </c>
      <c r="G18" s="11">
        <f t="shared" ref="G18:K18" si="38">SUM(G14:G17)</f>
        <v>34207</v>
      </c>
      <c r="H18" s="11">
        <f t="shared" si="38"/>
        <v>36574</v>
      </c>
      <c r="I18" s="11">
        <f t="shared" si="38"/>
        <v>37846</v>
      </c>
      <c r="J18" s="11">
        <f t="shared" si="38"/>
        <v>43198</v>
      </c>
      <c r="K18" s="11">
        <f t="shared" si="38"/>
        <v>38198</v>
      </c>
      <c r="L18" s="11">
        <f t="shared" ref="L18" si="39">SUM(L14:L17)</f>
        <v>34991</v>
      </c>
      <c r="M18" s="11">
        <f>SUM(M14:M17)</f>
        <v>42573</v>
      </c>
      <c r="N18" s="11">
        <f>SUM(N14:N17)</f>
        <v>52873</v>
      </c>
      <c r="O18" s="11">
        <v>51178</v>
      </c>
      <c r="P18" s="11">
        <f t="shared" ref="P18" si="40">SUM(P14:P17)</f>
        <v>57067</v>
      </c>
      <c r="Q18" s="11">
        <f t="shared" ref="Q18:U18" si="41">SUM(Q14:Q17)</f>
        <v>59884</v>
      </c>
      <c r="R18" s="11">
        <f t="shared" si="41"/>
        <v>69400</v>
      </c>
      <c r="S18" s="11">
        <f t="shared" si="41"/>
        <v>61472</v>
      </c>
      <c r="T18" s="11">
        <f t="shared" si="41"/>
        <v>62841</v>
      </c>
      <c r="U18" s="11">
        <f t="shared" si="41"/>
        <v>61377</v>
      </c>
      <c r="V18" s="11">
        <f t="shared" ref="V18:AC18" si="42">SUM(V14:V17)</f>
        <v>67838</v>
      </c>
      <c r="W18" s="11">
        <f t="shared" si="42"/>
        <v>61961</v>
      </c>
      <c r="X18" s="11">
        <f t="shared" si="42"/>
        <v>66285</v>
      </c>
      <c r="Y18" s="11">
        <f t="shared" si="42"/>
        <v>67986</v>
      </c>
      <c r="Z18" s="11">
        <f t="shared" si="42"/>
        <v>76311</v>
      </c>
      <c r="AA18" s="11">
        <f t="shared" si="42"/>
        <v>70398</v>
      </c>
      <c r="AB18" s="11">
        <f t="shared" si="42"/>
        <v>73928</v>
      </c>
      <c r="AC18" s="11">
        <f t="shared" si="42"/>
        <v>76510</v>
      </c>
      <c r="AD18" s="11">
        <f t="shared" ref="AD18:AI18" si="43">SUM(AD14:AD17)</f>
        <v>84094</v>
      </c>
      <c r="AE18" s="11">
        <f t="shared" si="43"/>
        <v>77264</v>
      </c>
      <c r="AF18" s="11">
        <f t="shared" si="43"/>
        <v>82543</v>
      </c>
      <c r="AG18" s="11">
        <f t="shared" si="43"/>
        <v>87052</v>
      </c>
      <c r="AH18" s="11">
        <f t="shared" si="43"/>
        <v>95862</v>
      </c>
      <c r="AI18" s="11">
        <f t="shared" si="43"/>
        <v>89637</v>
      </c>
      <c r="AJ18" s="11">
        <f>SUM(AJ14:AJ17)</f>
        <v>94540</v>
      </c>
      <c r="AK18" s="11">
        <f t="shared" ref="AK18:AL18" si="44">SUM(AK14:AK17)</f>
        <v>99872.549999999988</v>
      </c>
      <c r="AL18" s="11">
        <f t="shared" si="44"/>
        <v>109959.65</v>
      </c>
      <c r="AM18" s="11"/>
      <c r="AP18" s="11">
        <f t="shared" ref="AP18:BC18" si="45">SUM(AP14:AP17)</f>
        <v>16594</v>
      </c>
      <c r="AQ18" s="11">
        <f t="shared" si="45"/>
        <v>21796</v>
      </c>
      <c r="AR18" s="11">
        <f t="shared" si="45"/>
        <v>23651</v>
      </c>
      <c r="AS18" s="11">
        <f t="shared" si="45"/>
        <v>29321</v>
      </c>
      <c r="AT18" s="11">
        <f t="shared" si="45"/>
        <v>37905</v>
      </c>
      <c r="AU18" s="11">
        <f t="shared" si="45"/>
        <v>46039</v>
      </c>
      <c r="AV18" s="11">
        <f t="shared" si="45"/>
        <v>55507</v>
      </c>
      <c r="AW18" s="11">
        <f t="shared" si="45"/>
        <v>65674</v>
      </c>
      <c r="AX18" s="11">
        <f t="shared" si="45"/>
        <v>74544</v>
      </c>
      <c r="AY18" s="11">
        <f t="shared" si="45"/>
        <v>89984</v>
      </c>
      <c r="AZ18" s="11">
        <f t="shared" si="45"/>
        <v>106491</v>
      </c>
      <c r="BA18" s="11">
        <f t="shared" si="45"/>
        <v>130524</v>
      </c>
      <c r="BB18" s="11">
        <f>SUM(BB14:BB17)</f>
        <v>151825</v>
      </c>
      <c r="BC18" s="11">
        <f t="shared" si="45"/>
        <v>168635</v>
      </c>
      <c r="BD18" s="11">
        <f>SUM(BD14:BD17)</f>
        <v>237529</v>
      </c>
      <c r="BE18" s="11">
        <f>SUM(BE14:BE17)</f>
        <v>253528</v>
      </c>
      <c r="BF18" s="3">
        <f t="shared" si="7"/>
        <v>272543</v>
      </c>
      <c r="BG18" s="3">
        <f t="shared" si="8"/>
        <v>304930</v>
      </c>
      <c r="BH18" s="3">
        <f t="shared" si="9"/>
        <v>342721</v>
      </c>
      <c r="BI18" s="11">
        <f>SUM(BI14:BI17)</f>
        <v>394009.2</v>
      </c>
      <c r="BJ18" s="11">
        <f t="shared" ref="BJ18:BM18" si="46">SUM(BJ14:BJ17)</f>
        <v>425012.32400000002</v>
      </c>
      <c r="BK18" s="11">
        <f t="shared" si="46"/>
        <v>450197.63212000002</v>
      </c>
      <c r="BL18" s="11">
        <f t="shared" si="46"/>
        <v>476990.1516836001</v>
      </c>
      <c r="BM18" s="11">
        <f t="shared" si="46"/>
        <v>498916.31113690813</v>
      </c>
      <c r="BN18" s="11">
        <f t="shared" ref="BN18:BR18" si="47">SUM(BN14:BN17)</f>
        <v>521881.07811895537</v>
      </c>
      <c r="BO18" s="11">
        <f t="shared" si="47"/>
        <v>545934.65199286107</v>
      </c>
      <c r="BP18" s="11">
        <f t="shared" si="47"/>
        <v>571129.69015950081</v>
      </c>
      <c r="BQ18" s="11">
        <f t="shared" si="47"/>
        <v>597521.42940148246</v>
      </c>
      <c r="BR18" s="11">
        <f t="shared" si="47"/>
        <v>625167.81324758322</v>
      </c>
    </row>
    <row r="19" spans="2:122" s="9" customFormat="1" x14ac:dyDescent="0.2">
      <c r="B19" s="9" t="s">
        <v>8</v>
      </c>
      <c r="C19" s="10">
        <f>C18+C13+C12+C11</f>
        <v>31146</v>
      </c>
      <c r="D19" s="10">
        <f t="shared" ref="D19:E19" si="48">D18+D13+D12+D11</f>
        <v>32657</v>
      </c>
      <c r="E19" s="10">
        <f t="shared" si="48"/>
        <v>33740</v>
      </c>
      <c r="F19" s="10">
        <f>F18+F13+F12+F11</f>
        <v>39276</v>
      </c>
      <c r="G19" s="10">
        <f t="shared" ref="G19:K19" si="49">G18+G13+G12+G11</f>
        <v>36339</v>
      </c>
      <c r="H19" s="10">
        <f t="shared" si="49"/>
        <v>38944</v>
      </c>
      <c r="I19" s="10">
        <f t="shared" si="49"/>
        <v>40499</v>
      </c>
      <c r="J19" s="10">
        <f t="shared" si="49"/>
        <v>46075</v>
      </c>
      <c r="K19" s="10">
        <f t="shared" si="49"/>
        <v>41159</v>
      </c>
      <c r="L19" s="10">
        <f t="shared" ref="L19" si="50">L18+L13+L12+L11</f>
        <v>38297</v>
      </c>
      <c r="M19" s="10">
        <f>M18+M13+M12+M11</f>
        <v>46173</v>
      </c>
      <c r="N19" s="10">
        <f>N18+N13+N12+N11</f>
        <v>56898</v>
      </c>
      <c r="O19" s="10">
        <v>55314</v>
      </c>
      <c r="P19" s="10">
        <f t="shared" ref="P19" si="51">P18+P13+P12+P11</f>
        <v>61880</v>
      </c>
      <c r="Q19" s="10">
        <f>Q18+Q13+Q12+Q11</f>
        <v>65118</v>
      </c>
      <c r="R19" s="10">
        <f>R18+R13+R12+R11</f>
        <v>75325</v>
      </c>
      <c r="S19" s="10">
        <f>S18+S13+S12+S11</f>
        <v>68011</v>
      </c>
      <c r="T19" s="10">
        <f>T18+T13+T12+T11</f>
        <v>69685</v>
      </c>
      <c r="U19" s="10">
        <f t="shared" ref="U19:AL19" si="52">U18+U13+U12+U11</f>
        <v>69092</v>
      </c>
      <c r="V19" s="10">
        <f>V18+V13+V12+V11</f>
        <v>76048</v>
      </c>
      <c r="W19" s="10">
        <f t="shared" si="52"/>
        <v>69787</v>
      </c>
      <c r="X19" s="10">
        <f t="shared" si="52"/>
        <v>74604</v>
      </c>
      <c r="Y19" s="10">
        <f t="shared" si="52"/>
        <v>76693</v>
      </c>
      <c r="Z19" s="10">
        <f t="shared" si="52"/>
        <v>86310</v>
      </c>
      <c r="AA19" s="10">
        <f t="shared" si="52"/>
        <v>80539</v>
      </c>
      <c r="AB19" s="10">
        <f t="shared" si="52"/>
        <v>84742</v>
      </c>
      <c r="AC19" s="10">
        <f t="shared" si="52"/>
        <v>88268</v>
      </c>
      <c r="AD19" s="10">
        <f t="shared" si="52"/>
        <v>96469</v>
      </c>
      <c r="AE19" s="10">
        <f>AE18+AE13+AE12+AE11</f>
        <v>90234</v>
      </c>
      <c r="AF19" s="10">
        <f t="shared" si="52"/>
        <v>96428</v>
      </c>
      <c r="AG19" s="10">
        <f t="shared" si="52"/>
        <v>102346</v>
      </c>
      <c r="AH19" s="10">
        <f t="shared" si="52"/>
        <v>113828</v>
      </c>
      <c r="AI19" s="10">
        <f t="shared" si="52"/>
        <v>109896</v>
      </c>
      <c r="AJ19" s="10">
        <f t="shared" si="52"/>
        <v>119796</v>
      </c>
      <c r="AK19" s="10">
        <f t="shared" si="52"/>
        <v>127791.24999999999</v>
      </c>
      <c r="AL19" s="10">
        <f t="shared" si="52"/>
        <v>141059.85</v>
      </c>
      <c r="AM19" s="10"/>
      <c r="AN19" s="10">
        <v>6138.56</v>
      </c>
      <c r="AO19" s="10">
        <v>10605</v>
      </c>
      <c r="AP19" s="10">
        <f t="shared" ref="AP19:AS19" si="53">AP18+AP13+AP12+AP11</f>
        <v>16594</v>
      </c>
      <c r="AQ19" s="10">
        <f t="shared" si="53"/>
        <v>21796</v>
      </c>
      <c r="AR19" s="10">
        <f t="shared" si="53"/>
        <v>23651</v>
      </c>
      <c r="AS19" s="10">
        <f t="shared" si="53"/>
        <v>29321</v>
      </c>
      <c r="AT19" s="10">
        <f t="shared" ref="AT19:BC19" si="54">AT18+AT13+AT12+AT11</f>
        <v>37905</v>
      </c>
      <c r="AU19" s="10">
        <f t="shared" si="54"/>
        <v>46039</v>
      </c>
      <c r="AV19" s="10">
        <f t="shared" si="54"/>
        <v>55519</v>
      </c>
      <c r="AW19" s="10">
        <f t="shared" si="54"/>
        <v>66001</v>
      </c>
      <c r="AX19" s="10">
        <f t="shared" si="54"/>
        <v>74989</v>
      </c>
      <c r="AY19" s="10">
        <f t="shared" si="54"/>
        <v>90272</v>
      </c>
      <c r="AZ19" s="10">
        <f t="shared" si="54"/>
        <v>110855</v>
      </c>
      <c r="BA19" s="10">
        <f t="shared" si="54"/>
        <v>136819</v>
      </c>
      <c r="BB19" s="10">
        <f>BB18+BB13+BB12+BB11</f>
        <v>161857</v>
      </c>
      <c r="BC19" s="10">
        <f t="shared" si="54"/>
        <v>182527</v>
      </c>
      <c r="BD19" s="10">
        <f>BD18+BD13+BD12+BD11</f>
        <v>257637</v>
      </c>
      <c r="BE19" s="10">
        <f>BE18+BE13+BE12+BE11</f>
        <v>282836</v>
      </c>
      <c r="BF19" s="10">
        <f t="shared" ref="BF19" si="55">BF18+BF13+BF12+BF11</f>
        <v>307394</v>
      </c>
      <c r="BG19" s="10">
        <f>BG18+BG13+BG12+BG11</f>
        <v>350018</v>
      </c>
      <c r="BH19" s="10">
        <f>BH18+BH13+BH12+BH11</f>
        <v>402836</v>
      </c>
      <c r="BI19" s="10">
        <f t="shared" ref="BI19" si="56">BI18+BI13+BI12+BI11</f>
        <v>498543.10000000003</v>
      </c>
      <c r="BJ19" s="10">
        <f t="shared" ref="BJ19" si="57">BJ18+BJ13+BJ12+BJ11</f>
        <v>560938.10800000001</v>
      </c>
      <c r="BK19" s="10">
        <f t="shared" ref="BK19" si="58">BK18+BK13+BK12+BK11</f>
        <v>599572.51795999997</v>
      </c>
      <c r="BL19" s="10">
        <f t="shared" ref="BL19" si="59">BL18+BL13+BL12+BL11</f>
        <v>641157.61478200019</v>
      </c>
      <c r="BM19" s="10">
        <f t="shared" ref="BM19:BR19" si="60">BM18+BM13+BM12+BM11</f>
        <v>679354.16010629223</v>
      </c>
      <c r="BN19" s="10">
        <f t="shared" si="60"/>
        <v>720214.88794203335</v>
      </c>
      <c r="BO19" s="10">
        <f t="shared" si="60"/>
        <v>763952.54051456973</v>
      </c>
      <c r="BP19" s="10">
        <f t="shared" si="60"/>
        <v>810798.57222686661</v>
      </c>
      <c r="BQ19" s="10">
        <f t="shared" si="60"/>
        <v>861004.89641600603</v>
      </c>
      <c r="BR19" s="10">
        <f t="shared" si="60"/>
        <v>914845.80067138432</v>
      </c>
    </row>
    <row r="20" spans="2:122" s="3" customFormat="1" x14ac:dyDescent="0.2">
      <c r="B20" s="3" t="s">
        <v>20</v>
      </c>
      <c r="C20" s="11">
        <f>13467-C21</f>
        <v>7179</v>
      </c>
      <c r="D20" s="11">
        <f>13883-D21</f>
        <v>7463</v>
      </c>
      <c r="E20" s="11">
        <f>14281-E21</f>
        <v>7699</v>
      </c>
      <c r="F20" s="11">
        <f>17918-F21</f>
        <v>10482</v>
      </c>
      <c r="G20" s="11">
        <f>16012-G21</f>
        <v>9152</v>
      </c>
      <c r="H20" s="11">
        <f>17296-H21</f>
        <v>10058</v>
      </c>
      <c r="I20" s="11">
        <f>17568-I21</f>
        <v>10078</v>
      </c>
      <c r="J20" s="11">
        <f>21020-J21</f>
        <v>12519</v>
      </c>
      <c r="K20" s="11">
        <f>18982-K21</f>
        <v>11530</v>
      </c>
      <c r="L20" s="11">
        <f>18553-L21</f>
        <v>11859</v>
      </c>
      <c r="M20" s="11">
        <f>21117-M21</f>
        <v>12951</v>
      </c>
      <c r="N20" s="11">
        <f>26080-N21</f>
        <v>15614</v>
      </c>
      <c r="O20" s="11">
        <f>24103-O21</f>
        <v>14391</v>
      </c>
      <c r="P20" s="11">
        <f>26227-P21</f>
        <v>15298</v>
      </c>
      <c r="Q20" s="11">
        <f>27621-Q21</f>
        <v>16123</v>
      </c>
      <c r="R20" s="11">
        <f>32988-R21</f>
        <v>19561</v>
      </c>
      <c r="S20" s="11">
        <f>29599-S21</f>
        <v>17609</v>
      </c>
      <c r="T20" s="11">
        <f>30104-T21</f>
        <v>17890</v>
      </c>
      <c r="U20" s="11">
        <f>31158-U21</f>
        <v>19332</v>
      </c>
      <c r="V20" s="11">
        <f>35342-V21</f>
        <v>22417</v>
      </c>
      <c r="W20" s="11">
        <f>30612-W21</f>
        <v>18891</v>
      </c>
      <c r="X20" s="11">
        <f>31916-X21</f>
        <v>19379</v>
      </c>
      <c r="Y20" s="11">
        <f>33229-Y21</f>
        <v>20587</v>
      </c>
      <c r="Z20" s="11">
        <f>37575-Z21</f>
        <v>23589</v>
      </c>
      <c r="AA20" s="11">
        <f>33712-AA21</f>
        <v>20766</v>
      </c>
      <c r="AB20" s="11">
        <f>35507-AB21</f>
        <v>22120</v>
      </c>
      <c r="AC20" s="11">
        <f>36474-AC21</f>
        <v>22755</v>
      </c>
      <c r="AD20" s="11">
        <f>40613-AD21</f>
        <v>25765</v>
      </c>
      <c r="AE20" s="11">
        <f>36361-AE21</f>
        <v>22613</v>
      </c>
      <c r="AF20" s="11">
        <f>39039-AF21</f>
        <v>24334</v>
      </c>
      <c r="AG20" s="11">
        <f>41369-AG21</f>
        <v>26493</v>
      </c>
      <c r="AH20" s="11">
        <f>45766-AH21</f>
        <v>29169</v>
      </c>
      <c r="AI20" s="11">
        <f>41271-AI21</f>
        <v>26043</v>
      </c>
      <c r="AJ20" s="11">
        <f>45943-AJ21</f>
        <v>29764</v>
      </c>
      <c r="AK20" s="11">
        <f t="shared" ref="AK20:AL20" si="61">+AK19-AK22</f>
        <v>48560.674999999988</v>
      </c>
      <c r="AL20" s="11">
        <f t="shared" si="61"/>
        <v>53602.743000000002</v>
      </c>
      <c r="AM20" s="11"/>
      <c r="AN20" s="3">
        <v>2577.0880000000002</v>
      </c>
      <c r="AO20" s="3">
        <v>4225</v>
      </c>
      <c r="AP20" s="3">
        <f>6649-AP21</f>
        <v>1715.1000000000004</v>
      </c>
      <c r="AQ20" s="3">
        <f>8622-AQ21</f>
        <v>2683</v>
      </c>
      <c r="AR20" s="3">
        <f>8844-AR21</f>
        <v>2675</v>
      </c>
      <c r="AS20" s="3">
        <f>10417-AS21</f>
        <v>3100</v>
      </c>
      <c r="AT20" s="3">
        <f>13188-AT21</f>
        <v>4377</v>
      </c>
      <c r="AU20" s="3">
        <v>6220</v>
      </c>
      <c r="AV20" s="3">
        <v>9735</v>
      </c>
      <c r="AW20" s="3">
        <f>25691-AW21</f>
        <v>12194</v>
      </c>
      <c r="AX20" s="3">
        <f>28164-AX21</f>
        <v>13821</v>
      </c>
      <c r="AY20" s="3">
        <f>35138-AY21</f>
        <v>18345</v>
      </c>
      <c r="AZ20" s="3">
        <f>45583-AZ21</f>
        <v>23911</v>
      </c>
      <c r="BA20" s="3">
        <f>SUM(C20:F20)</f>
        <v>32823</v>
      </c>
      <c r="BB20" s="3">
        <f t="shared" ref="BB20:BB30" si="62">SUM(G20:J20)</f>
        <v>41807</v>
      </c>
      <c r="BC20" s="3">
        <f t="shared" ref="BC20:BC25" si="63">SUM(K20:N20)</f>
        <v>51954</v>
      </c>
      <c r="BD20" s="3">
        <f t="shared" ref="BD20:BD25" si="64">SUM(O20:R20)</f>
        <v>65373</v>
      </c>
      <c r="BE20" s="3">
        <f>SUM(S20:V20)</f>
        <v>77248</v>
      </c>
      <c r="BF20" s="3">
        <f t="shared" si="7"/>
        <v>82446</v>
      </c>
      <c r="BG20" s="3">
        <f t="shared" si="8"/>
        <v>91406</v>
      </c>
      <c r="BH20" s="3">
        <f>SUM(AE20:AH20)</f>
        <v>102609</v>
      </c>
      <c r="BI20" s="3">
        <f t="shared" ref="BI20:BI25" si="65">SUM(AI20:AL20)</f>
        <v>157970.41800000001</v>
      </c>
      <c r="BJ20" s="3">
        <f t="shared" ref="BJ20:BM20" si="66">+BJ19-BJ22</f>
        <v>246812.76751999999</v>
      </c>
      <c r="BK20" s="3">
        <f t="shared" si="66"/>
        <v>263811.90790239995</v>
      </c>
      <c r="BL20" s="3">
        <f t="shared" si="66"/>
        <v>282109.35050408007</v>
      </c>
      <c r="BM20" s="3">
        <f t="shared" si="66"/>
        <v>298915.83044676855</v>
      </c>
      <c r="BN20" s="3">
        <f t="shared" ref="BN20:BR20" si="67">+BN19-BN22</f>
        <v>316894.55069449462</v>
      </c>
      <c r="BO20" s="3">
        <f t="shared" si="67"/>
        <v>336139.11782641063</v>
      </c>
      <c r="BP20" s="3">
        <f t="shared" si="67"/>
        <v>356751.37177982129</v>
      </c>
      <c r="BQ20" s="3">
        <f t="shared" si="67"/>
        <v>378842.15442304261</v>
      </c>
      <c r="BR20" s="3">
        <f t="shared" si="67"/>
        <v>402532.15229540906</v>
      </c>
    </row>
    <row r="21" spans="2:122" s="3" customFormat="1" x14ac:dyDescent="0.2">
      <c r="B21" s="3" t="s">
        <v>51</v>
      </c>
      <c r="C21" s="11">
        <v>6288</v>
      </c>
      <c r="D21" s="11">
        <v>6420</v>
      </c>
      <c r="E21" s="11">
        <v>6582</v>
      </c>
      <c r="F21" s="11">
        <v>7436</v>
      </c>
      <c r="G21" s="11">
        <v>6860</v>
      </c>
      <c r="H21" s="11">
        <v>7238</v>
      </c>
      <c r="I21" s="11">
        <v>7490</v>
      </c>
      <c r="J21" s="11">
        <v>8501</v>
      </c>
      <c r="K21" s="11">
        <v>7452</v>
      </c>
      <c r="L21" s="11">
        <v>6694</v>
      </c>
      <c r="M21" s="11">
        <v>8166</v>
      </c>
      <c r="N21" s="11">
        <v>10466</v>
      </c>
      <c r="O21" s="11">
        <v>9712</v>
      </c>
      <c r="P21" s="11">
        <v>10929</v>
      </c>
      <c r="Q21" s="11">
        <v>11498</v>
      </c>
      <c r="R21" s="11">
        <v>13427</v>
      </c>
      <c r="S21" s="11">
        <v>11990</v>
      </c>
      <c r="T21" s="11">
        <v>12214</v>
      </c>
      <c r="U21" s="11">
        <v>11826</v>
      </c>
      <c r="V21" s="11">
        <v>12925</v>
      </c>
      <c r="W21" s="11">
        <v>11721</v>
      </c>
      <c r="X21" s="11">
        <v>12537</v>
      </c>
      <c r="Y21" s="11">
        <v>12642</v>
      </c>
      <c r="Z21" s="11">
        <v>13986</v>
      </c>
      <c r="AA21" s="11">
        <v>12946</v>
      </c>
      <c r="AB21" s="11">
        <v>13387</v>
      </c>
      <c r="AC21" s="11">
        <v>13719</v>
      </c>
      <c r="AD21" s="11">
        <v>14848</v>
      </c>
      <c r="AE21" s="11">
        <v>13748</v>
      </c>
      <c r="AF21" s="11">
        <v>14705</v>
      </c>
      <c r="AG21" s="11">
        <v>14876</v>
      </c>
      <c r="AH21" s="11">
        <v>16597</v>
      </c>
      <c r="AI21" s="11">
        <v>15228</v>
      </c>
      <c r="AJ21" s="11">
        <v>16179</v>
      </c>
      <c r="AK21" s="11"/>
      <c r="AL21" s="11"/>
      <c r="AM21" s="11"/>
      <c r="AP21" s="3">
        <v>4933.8999999999996</v>
      </c>
      <c r="AQ21" s="3">
        <v>5939</v>
      </c>
      <c r="AR21" s="3">
        <v>6169</v>
      </c>
      <c r="AS21" s="3">
        <v>7317</v>
      </c>
      <c r="AT21" s="3">
        <v>8811</v>
      </c>
      <c r="AU21" s="3">
        <v>10956</v>
      </c>
      <c r="AV21" s="3">
        <v>12258</v>
      </c>
      <c r="AW21" s="3">
        <v>13497</v>
      </c>
      <c r="AX21" s="3">
        <v>14343</v>
      </c>
      <c r="AY21" s="3">
        <v>16793</v>
      </c>
      <c r="AZ21" s="3">
        <v>21672</v>
      </c>
      <c r="BA21" s="3">
        <f>SUM(C21:F21)</f>
        <v>26726</v>
      </c>
      <c r="BB21" s="3">
        <f t="shared" si="62"/>
        <v>30089</v>
      </c>
      <c r="BC21" s="3">
        <f t="shared" si="63"/>
        <v>32778</v>
      </c>
      <c r="BD21" s="3">
        <f t="shared" si="64"/>
        <v>45566</v>
      </c>
      <c r="BE21" s="3">
        <f>SUM(S21:V21)</f>
        <v>48955</v>
      </c>
      <c r="BF21" s="3">
        <f t="shared" si="7"/>
        <v>50886</v>
      </c>
      <c r="BG21" s="3">
        <f t="shared" si="8"/>
        <v>54900</v>
      </c>
      <c r="BH21" s="3">
        <f>SUM(AE21:AH21)</f>
        <v>59926</v>
      </c>
    </row>
    <row r="22" spans="2:122" s="3" customFormat="1" x14ac:dyDescent="0.2">
      <c r="B22" s="3" t="s">
        <v>21</v>
      </c>
      <c r="C22" s="11">
        <f t="shared" ref="C22" si="68">+C19-C20-C21</f>
        <v>17679</v>
      </c>
      <c r="D22" s="11">
        <f t="shared" ref="D22:E22" si="69">+D19-D20-D21</f>
        <v>18774</v>
      </c>
      <c r="E22" s="11">
        <f t="shared" si="69"/>
        <v>19459</v>
      </c>
      <c r="F22" s="11">
        <f t="shared" ref="F22:G22" si="70">+F19-F20-F21</f>
        <v>21358</v>
      </c>
      <c r="G22" s="11">
        <f t="shared" si="70"/>
        <v>20327</v>
      </c>
      <c r="H22" s="11">
        <f t="shared" ref="H22" si="71">+H19-H20-H21</f>
        <v>21648</v>
      </c>
      <c r="I22" s="11">
        <f t="shared" ref="I22" si="72">+I19-I20-I21</f>
        <v>22931</v>
      </c>
      <c r="J22" s="11">
        <f t="shared" ref="J22" si="73">+J19-J20-J21</f>
        <v>25055</v>
      </c>
      <c r="K22" s="11">
        <f t="shared" ref="K22" si="74">+K19-K20-K21</f>
        <v>22177</v>
      </c>
      <c r="L22" s="11">
        <f t="shared" ref="L22:Q22" si="75">+L19-L20-L21</f>
        <v>19744</v>
      </c>
      <c r="M22" s="11">
        <f t="shared" si="75"/>
        <v>25056</v>
      </c>
      <c r="N22" s="11">
        <f t="shared" si="75"/>
        <v>30818</v>
      </c>
      <c r="O22" s="11">
        <f t="shared" si="75"/>
        <v>31211</v>
      </c>
      <c r="P22" s="11">
        <f t="shared" si="75"/>
        <v>35653</v>
      </c>
      <c r="Q22" s="11">
        <f t="shared" si="75"/>
        <v>37497</v>
      </c>
      <c r="R22" s="11">
        <f>+R19-R20-R21</f>
        <v>42337</v>
      </c>
      <c r="S22" s="11">
        <f t="shared" ref="S22:T22" si="76">+S19-S20-S21</f>
        <v>38412</v>
      </c>
      <c r="T22" s="11">
        <f t="shared" si="76"/>
        <v>39581</v>
      </c>
      <c r="U22" s="11">
        <f t="shared" ref="U22" si="77">+U19-U20-U21</f>
        <v>37934</v>
      </c>
      <c r="V22" s="11">
        <f t="shared" ref="V22" si="78">+V19-V20-V21</f>
        <v>40706</v>
      </c>
      <c r="W22" s="11">
        <f t="shared" ref="W22" si="79">+W19-W20-W21</f>
        <v>39175</v>
      </c>
      <c r="X22" s="11">
        <f t="shared" ref="X22:AF22" si="80">+X19-X20-X21</f>
        <v>42688</v>
      </c>
      <c r="Y22" s="11">
        <f t="shared" si="80"/>
        <v>43464</v>
      </c>
      <c r="Z22" s="11">
        <f t="shared" si="80"/>
        <v>48735</v>
      </c>
      <c r="AA22" s="11">
        <f t="shared" si="80"/>
        <v>46827</v>
      </c>
      <c r="AB22" s="11">
        <f t="shared" si="80"/>
        <v>49235</v>
      </c>
      <c r="AC22" s="11">
        <f t="shared" si="80"/>
        <v>51794</v>
      </c>
      <c r="AD22" s="11">
        <f t="shared" si="80"/>
        <v>55856</v>
      </c>
      <c r="AE22" s="11">
        <f t="shared" si="80"/>
        <v>53873</v>
      </c>
      <c r="AF22" s="11">
        <f t="shared" si="80"/>
        <v>57389</v>
      </c>
      <c r="AG22" s="11">
        <f>+AG19-AG20-AG21</f>
        <v>60977</v>
      </c>
      <c r="AH22" s="11">
        <f>+AH19-AH20-AH21</f>
        <v>68062</v>
      </c>
      <c r="AI22" s="11">
        <f>+AI19-AI20-AI21</f>
        <v>68625</v>
      </c>
      <c r="AJ22" s="11">
        <f>+AJ19-AJ20-AJ21</f>
        <v>73853</v>
      </c>
      <c r="AK22" s="11">
        <f t="shared" ref="AK22:AL22" si="81">+AK19*0.62</f>
        <v>79230.574999999997</v>
      </c>
      <c r="AL22" s="11">
        <f t="shared" si="81"/>
        <v>87457.107000000004</v>
      </c>
      <c r="AM22" s="11"/>
      <c r="AN22" s="3">
        <f t="shared" ref="AN22:AO22" si="82">+AN19-AN20-AN21</f>
        <v>3561.4720000000002</v>
      </c>
      <c r="AO22" s="3">
        <f t="shared" si="82"/>
        <v>6380</v>
      </c>
      <c r="AP22" s="3">
        <f t="shared" ref="AP22" si="83">+AP19-AP20-AP21</f>
        <v>9945</v>
      </c>
      <c r="AQ22" s="3">
        <f t="shared" ref="AQ22" si="84">+AQ19-AQ20-AQ21</f>
        <v>13174</v>
      </c>
      <c r="AR22" s="3">
        <f t="shared" ref="AR22" si="85">+AR19-AR20-AR21</f>
        <v>14807</v>
      </c>
      <c r="AS22" s="3">
        <f t="shared" ref="AS22:BA22" si="86">+AS19-AS20-AS21</f>
        <v>18904</v>
      </c>
      <c r="AT22" s="3">
        <f t="shared" si="86"/>
        <v>24717</v>
      </c>
      <c r="AU22" s="3">
        <f t="shared" si="86"/>
        <v>28863</v>
      </c>
      <c r="AV22" s="3">
        <f t="shared" si="86"/>
        <v>33526</v>
      </c>
      <c r="AW22" s="3">
        <f t="shared" si="86"/>
        <v>40310</v>
      </c>
      <c r="AX22" s="3">
        <f t="shared" si="86"/>
        <v>46825</v>
      </c>
      <c r="AY22" s="3">
        <f t="shared" si="86"/>
        <v>55134</v>
      </c>
      <c r="AZ22" s="3">
        <f t="shared" si="86"/>
        <v>65272</v>
      </c>
      <c r="BA22" s="3">
        <f t="shared" si="86"/>
        <v>77270</v>
      </c>
      <c r="BB22" s="3">
        <f>+BB19-BB20-BB21</f>
        <v>89961</v>
      </c>
      <c r="BC22" s="3">
        <f>+BC19-BC20-BC21</f>
        <v>97795</v>
      </c>
      <c r="BD22" s="3">
        <f>+BD19-BD20-BD21</f>
        <v>146698</v>
      </c>
      <c r="BE22" s="3">
        <f>+BE19-BE20-BE21</f>
        <v>156633</v>
      </c>
      <c r="BF22" s="3">
        <f>+BF19-BF20-BF21</f>
        <v>174062</v>
      </c>
      <c r="BG22" s="3">
        <f>SUM(AA22:AD22)</f>
        <v>203712</v>
      </c>
      <c r="BH22" s="3">
        <f>+BH19*0.56</f>
        <v>225588.16000000003</v>
      </c>
      <c r="BI22" s="3">
        <f t="shared" si="65"/>
        <v>309165.68200000003</v>
      </c>
      <c r="BJ22" s="3">
        <f t="shared" ref="BJ22:BR22" si="87">+BJ19*0.56</f>
        <v>314125.34048000001</v>
      </c>
      <c r="BK22" s="3">
        <f t="shared" si="87"/>
        <v>335760.61005760002</v>
      </c>
      <c r="BL22" s="3">
        <f t="shared" si="87"/>
        <v>359048.26427792013</v>
      </c>
      <c r="BM22" s="3">
        <f t="shared" si="87"/>
        <v>380438.32965952368</v>
      </c>
      <c r="BN22" s="3">
        <f t="shared" si="87"/>
        <v>403320.33724753873</v>
      </c>
      <c r="BO22" s="3">
        <f t="shared" si="87"/>
        <v>427813.4226881591</v>
      </c>
      <c r="BP22" s="3">
        <f t="shared" si="87"/>
        <v>454047.20044704532</v>
      </c>
      <c r="BQ22" s="3">
        <f t="shared" si="87"/>
        <v>482162.74199296342</v>
      </c>
      <c r="BR22" s="3">
        <f t="shared" si="87"/>
        <v>512313.64837597526</v>
      </c>
    </row>
    <row r="23" spans="2:122" s="3" customFormat="1" x14ac:dyDescent="0.2">
      <c r="B23" s="3" t="s">
        <v>22</v>
      </c>
      <c r="C23" s="11">
        <v>5039</v>
      </c>
      <c r="D23" s="11">
        <v>5114</v>
      </c>
      <c r="E23" s="11">
        <v>5232</v>
      </c>
      <c r="F23" s="11">
        <v>6034</v>
      </c>
      <c r="G23" s="11">
        <v>6029</v>
      </c>
      <c r="H23" s="11">
        <v>6213</v>
      </c>
      <c r="I23" s="11">
        <v>6554</v>
      </c>
      <c r="J23" s="11">
        <v>7222</v>
      </c>
      <c r="K23" s="11">
        <v>6820</v>
      </c>
      <c r="L23" s="11">
        <v>6875</v>
      </c>
      <c r="M23" s="11">
        <v>6856</v>
      </c>
      <c r="N23" s="11">
        <v>7022</v>
      </c>
      <c r="O23" s="11">
        <v>7485</v>
      </c>
      <c r="P23" s="11">
        <v>7675</v>
      </c>
      <c r="Q23" s="11">
        <v>7694</v>
      </c>
      <c r="R23" s="11">
        <v>8708</v>
      </c>
      <c r="S23" s="11">
        <v>9119</v>
      </c>
      <c r="T23" s="11">
        <v>9841</v>
      </c>
      <c r="U23" s="11">
        <v>10273</v>
      </c>
      <c r="V23" s="11">
        <v>10267</v>
      </c>
      <c r="W23" s="11">
        <v>11468</v>
      </c>
      <c r="X23" s="11">
        <v>10588</v>
      </c>
      <c r="Y23" s="11">
        <v>11258</v>
      </c>
      <c r="Z23" s="11">
        <v>12113</v>
      </c>
      <c r="AA23" s="11">
        <v>11903</v>
      </c>
      <c r="AB23" s="11">
        <v>11860</v>
      </c>
      <c r="AC23" s="11">
        <v>12447</v>
      </c>
      <c r="AD23" s="11">
        <v>13116</v>
      </c>
      <c r="AE23" s="11">
        <f>+AA23*1.05</f>
        <v>12498.15</v>
      </c>
      <c r="AF23" s="11">
        <v>13808</v>
      </c>
      <c r="AG23" s="11">
        <v>15151</v>
      </c>
      <c r="AH23" s="11">
        <v>18572</v>
      </c>
      <c r="AI23" s="11">
        <v>17032</v>
      </c>
      <c r="AJ23" s="11">
        <v>18219</v>
      </c>
      <c r="AK23" s="11">
        <f t="shared" ref="AK23:AL25" si="88">+AG23*1.2</f>
        <v>18181.2</v>
      </c>
      <c r="AL23" s="11">
        <f t="shared" si="88"/>
        <v>22286.399999999998</v>
      </c>
      <c r="AM23" s="11"/>
      <c r="AN23" s="3">
        <v>599.51</v>
      </c>
      <c r="AO23" s="3">
        <v>1228.5889999999999</v>
      </c>
      <c r="AP23" s="3">
        <v>2119.9850000000001</v>
      </c>
      <c r="AQ23" s="3">
        <v>2793</v>
      </c>
      <c r="AR23" s="3">
        <v>2843</v>
      </c>
      <c r="AS23" s="3">
        <v>3762</v>
      </c>
      <c r="AT23" s="3">
        <v>5162</v>
      </c>
      <c r="AU23" s="3">
        <v>6083</v>
      </c>
      <c r="AV23" s="3">
        <v>7137</v>
      </c>
      <c r="AW23" s="3">
        <v>9832</v>
      </c>
      <c r="AX23" s="3">
        <v>12282</v>
      </c>
      <c r="AY23" s="3">
        <v>13948</v>
      </c>
      <c r="AZ23" s="3">
        <v>16625</v>
      </c>
      <c r="BA23" s="3">
        <v>21419</v>
      </c>
      <c r="BB23" s="3">
        <f t="shared" si="62"/>
        <v>26018</v>
      </c>
      <c r="BC23" s="3">
        <f t="shared" si="63"/>
        <v>27573</v>
      </c>
      <c r="BD23" s="3">
        <f t="shared" si="64"/>
        <v>31562</v>
      </c>
      <c r="BE23" s="3">
        <f t="shared" ref="BE23:BE25" si="89">SUM(S23:V23)</f>
        <v>39500</v>
      </c>
      <c r="BF23" s="3">
        <f>+BE23*1.05</f>
        <v>41475</v>
      </c>
      <c r="BG23" s="3">
        <f>SUM(AA23:AD23)</f>
        <v>49326</v>
      </c>
      <c r="BH23" s="3">
        <f t="shared" ref="BH23:BH25" si="90">SUM(AE23:AH23)</f>
        <v>60029.15</v>
      </c>
      <c r="BI23" s="3">
        <f t="shared" si="65"/>
        <v>75718.599999999991</v>
      </c>
      <c r="BJ23" s="3">
        <f t="shared" ref="BJ23:BK23" si="91">+BI23*1.05</f>
        <v>79504.53</v>
      </c>
      <c r="BK23" s="3">
        <f t="shared" si="91"/>
        <v>83479.756500000003</v>
      </c>
      <c r="BL23" s="3">
        <f>+BK23*1.03</f>
        <v>85984.149195000005</v>
      </c>
      <c r="BM23" s="3">
        <f t="shared" ref="BM23:BR23" si="92">+BL23*1.03</f>
        <v>88563.67367085001</v>
      </c>
      <c r="BN23" s="3">
        <f t="shared" si="92"/>
        <v>91220.583880975508</v>
      </c>
      <c r="BO23" s="3">
        <f t="shared" si="92"/>
        <v>93957.201397404773</v>
      </c>
      <c r="BP23" s="3">
        <f t="shared" si="92"/>
        <v>96775.91743932692</v>
      </c>
      <c r="BQ23" s="3">
        <f t="shared" si="92"/>
        <v>99679.194962506735</v>
      </c>
      <c r="BR23" s="3">
        <f t="shared" si="92"/>
        <v>102669.57081138194</v>
      </c>
    </row>
    <row r="24" spans="2:122" s="3" customFormat="1" x14ac:dyDescent="0.2">
      <c r="B24" s="3" t="s">
        <v>23</v>
      </c>
      <c r="C24" s="11">
        <v>3604</v>
      </c>
      <c r="D24" s="11">
        <v>3780</v>
      </c>
      <c r="E24" s="11">
        <v>3849</v>
      </c>
      <c r="F24" s="11">
        <v>5100</v>
      </c>
      <c r="G24" s="11">
        <v>3905</v>
      </c>
      <c r="H24" s="11">
        <v>4212</v>
      </c>
      <c r="I24" s="11">
        <v>4609</v>
      </c>
      <c r="J24" s="11">
        <v>5738</v>
      </c>
      <c r="K24" s="11">
        <v>4500</v>
      </c>
      <c r="L24" s="11">
        <v>3901</v>
      </c>
      <c r="M24" s="11">
        <v>4231</v>
      </c>
      <c r="N24" s="11">
        <v>5314</v>
      </c>
      <c r="O24" s="11">
        <v>4516</v>
      </c>
      <c r="P24" s="11">
        <v>5276</v>
      </c>
      <c r="Q24" s="11">
        <v>5516</v>
      </c>
      <c r="R24" s="11">
        <v>7604</v>
      </c>
      <c r="S24" s="11">
        <v>5825</v>
      </c>
      <c r="T24" s="11">
        <v>6630</v>
      </c>
      <c r="U24" s="11">
        <v>6929</v>
      </c>
      <c r="V24" s="11">
        <v>7183</v>
      </c>
      <c r="W24" s="11">
        <v>6533</v>
      </c>
      <c r="X24" s="11">
        <v>6781</v>
      </c>
      <c r="Y24" s="11">
        <v>6884</v>
      </c>
      <c r="Z24" s="11">
        <v>7719</v>
      </c>
      <c r="AA24" s="11">
        <v>6426</v>
      </c>
      <c r="AB24" s="11">
        <v>6792</v>
      </c>
      <c r="AC24" s="11">
        <v>7227</v>
      </c>
      <c r="AD24" s="11">
        <v>7363</v>
      </c>
      <c r="AE24" s="11">
        <v>6172</v>
      </c>
      <c r="AF24" s="11">
        <v>7101</v>
      </c>
      <c r="AG24" s="11">
        <v>7205</v>
      </c>
      <c r="AH24" s="11">
        <v>8215</v>
      </c>
      <c r="AI24" s="11">
        <v>7606</v>
      </c>
      <c r="AJ24" s="11">
        <v>8403</v>
      </c>
      <c r="AK24" s="11">
        <f t="shared" si="88"/>
        <v>8646</v>
      </c>
      <c r="AL24" s="11">
        <f t="shared" si="88"/>
        <v>9858</v>
      </c>
      <c r="AM24" s="11"/>
      <c r="AN24" s="3">
        <v>468.15199999999999</v>
      </c>
      <c r="AO24" s="3">
        <v>849.51800000000003</v>
      </c>
      <c r="AP24" s="3">
        <v>1461.2660000000001</v>
      </c>
      <c r="AQ24" s="3">
        <v>1946</v>
      </c>
      <c r="AR24" s="3">
        <v>1984</v>
      </c>
      <c r="AS24" s="3">
        <v>2799</v>
      </c>
      <c r="AT24" s="3">
        <v>4589</v>
      </c>
      <c r="AU24" s="3">
        <v>5465</v>
      </c>
      <c r="AV24" s="3">
        <v>6554</v>
      </c>
      <c r="AW24" s="3">
        <v>8131</v>
      </c>
      <c r="AX24" s="3">
        <v>9047</v>
      </c>
      <c r="AY24" s="3">
        <v>10485</v>
      </c>
      <c r="AZ24" s="3">
        <v>12893</v>
      </c>
      <c r="BA24" s="3">
        <v>16333</v>
      </c>
      <c r="BB24" s="3">
        <f t="shared" si="62"/>
        <v>18464</v>
      </c>
      <c r="BC24" s="3">
        <f t="shared" si="63"/>
        <v>17946</v>
      </c>
      <c r="BD24" s="3">
        <f t="shared" si="64"/>
        <v>22912</v>
      </c>
      <c r="BE24" s="3">
        <f t="shared" si="89"/>
        <v>26567</v>
      </c>
      <c r="BF24" s="3">
        <f>+BE24*1.05</f>
        <v>27895.350000000002</v>
      </c>
      <c r="BG24" s="3">
        <f>SUM(AA24:AD24)</f>
        <v>27808</v>
      </c>
      <c r="BH24" s="3">
        <f t="shared" si="90"/>
        <v>28693</v>
      </c>
      <c r="BI24" s="3">
        <f t="shared" si="65"/>
        <v>34513</v>
      </c>
      <c r="BJ24" s="3">
        <f t="shared" ref="BJ24:BK24" si="93">+BI24*1.05</f>
        <v>36238.65</v>
      </c>
      <c r="BK24" s="3">
        <f t="shared" si="93"/>
        <v>38050.582500000004</v>
      </c>
      <c r="BL24" s="3">
        <f t="shared" ref="BL24:BR25" si="94">+BK24*1.03</f>
        <v>39192.099975000005</v>
      </c>
      <c r="BM24" s="3">
        <f t="shared" si="94"/>
        <v>40367.862974250005</v>
      </c>
      <c r="BN24" s="3">
        <f t="shared" si="94"/>
        <v>41578.898863477509</v>
      </c>
      <c r="BO24" s="3">
        <f t="shared" si="94"/>
        <v>42826.265829381839</v>
      </c>
      <c r="BP24" s="3">
        <f t="shared" si="94"/>
        <v>44111.053804263298</v>
      </c>
      <c r="BQ24" s="3">
        <f t="shared" si="94"/>
        <v>45434.385418391197</v>
      </c>
      <c r="BR24" s="3">
        <f t="shared" si="94"/>
        <v>46797.416980942937</v>
      </c>
    </row>
    <row r="25" spans="2:122" s="3" customFormat="1" x14ac:dyDescent="0.2">
      <c r="B25" s="3" t="s">
        <v>24</v>
      </c>
      <c r="C25" s="11">
        <v>1403</v>
      </c>
      <c r="D25" s="11">
        <v>1764</v>
      </c>
      <c r="E25" s="11">
        <v>1753</v>
      </c>
      <c r="F25" s="11">
        <v>2003</v>
      </c>
      <c r="G25" s="11">
        <v>2088</v>
      </c>
      <c r="H25" s="11">
        <v>2043</v>
      </c>
      <c r="I25" s="11">
        <v>2591</v>
      </c>
      <c r="J25" s="11">
        <v>2829</v>
      </c>
      <c r="K25" s="11">
        <v>2880</v>
      </c>
      <c r="L25" s="11">
        <v>2585</v>
      </c>
      <c r="M25" s="11">
        <v>2756</v>
      </c>
      <c r="N25" s="11">
        <v>2831</v>
      </c>
      <c r="O25" s="11">
        <v>2773</v>
      </c>
      <c r="P25" s="11">
        <v>3341</v>
      </c>
      <c r="Q25" s="11">
        <v>3256</v>
      </c>
      <c r="R25" s="11">
        <v>4140</v>
      </c>
      <c r="S25" s="11">
        <v>3374</v>
      </c>
      <c r="T25" s="11">
        <v>3657</v>
      </c>
      <c r="U25" s="11">
        <v>3597</v>
      </c>
      <c r="V25" s="11">
        <v>5096</v>
      </c>
      <c r="W25" s="11">
        <v>3759</v>
      </c>
      <c r="X25" s="11">
        <v>3481</v>
      </c>
      <c r="Y25" s="11">
        <v>3979</v>
      </c>
      <c r="Z25" s="11">
        <v>5206</v>
      </c>
      <c r="AA25" s="11">
        <v>3026</v>
      </c>
      <c r="AB25" s="11">
        <v>3158</v>
      </c>
      <c r="AC25" s="11">
        <v>3599</v>
      </c>
      <c r="AD25" s="11">
        <v>4405</v>
      </c>
      <c r="AE25" s="11">
        <v>3539</v>
      </c>
      <c r="AF25" s="11">
        <v>5209</v>
      </c>
      <c r="AG25" s="11">
        <v>7393</v>
      </c>
      <c r="AH25" s="11">
        <v>5341</v>
      </c>
      <c r="AI25" s="11">
        <v>4291</v>
      </c>
      <c r="AJ25" s="11">
        <v>6461</v>
      </c>
      <c r="AK25" s="11">
        <f t="shared" si="88"/>
        <v>8871.6</v>
      </c>
      <c r="AL25" s="11">
        <f t="shared" si="88"/>
        <v>6409.2</v>
      </c>
      <c r="AM25" s="11"/>
      <c r="AN25" s="3">
        <v>386.53199999999998</v>
      </c>
      <c r="AO25" s="3">
        <v>751.78700000000003</v>
      </c>
      <c r="AP25" s="3">
        <v>1279.25</v>
      </c>
      <c r="AQ25" s="3">
        <v>1803</v>
      </c>
      <c r="AR25" s="3">
        <v>1668</v>
      </c>
      <c r="AS25" s="3">
        <v>1962</v>
      </c>
      <c r="AT25" s="3">
        <v>2724</v>
      </c>
      <c r="AU25" s="3">
        <v>3481</v>
      </c>
      <c r="AV25" s="3">
        <v>4432</v>
      </c>
      <c r="AW25" s="3">
        <v>5851</v>
      </c>
      <c r="AX25" s="3">
        <v>6136</v>
      </c>
      <c r="AY25" s="3">
        <v>6985</v>
      </c>
      <c r="AZ25" s="3">
        <v>6872</v>
      </c>
      <c r="BA25" s="3">
        <v>8126</v>
      </c>
      <c r="BB25" s="3">
        <f t="shared" si="62"/>
        <v>9551</v>
      </c>
      <c r="BC25" s="3">
        <f t="shared" si="63"/>
        <v>11052</v>
      </c>
      <c r="BD25" s="3">
        <f t="shared" si="64"/>
        <v>13510</v>
      </c>
      <c r="BE25" s="3">
        <f t="shared" si="89"/>
        <v>15724</v>
      </c>
      <c r="BF25" s="3">
        <f>+BE25*1.05</f>
        <v>16510.2</v>
      </c>
      <c r="BG25" s="3">
        <f>SUM(AA25:AD25)</f>
        <v>14188</v>
      </c>
      <c r="BH25" s="3">
        <f t="shared" si="90"/>
        <v>21482</v>
      </c>
      <c r="BI25" s="3">
        <f t="shared" si="65"/>
        <v>26032.799999999999</v>
      </c>
      <c r="BJ25" s="3">
        <f t="shared" ref="BJ25:BK25" si="95">+BI25*1.05</f>
        <v>27334.44</v>
      </c>
      <c r="BK25" s="3">
        <f t="shared" si="95"/>
        <v>28701.162</v>
      </c>
      <c r="BL25" s="3">
        <f t="shared" si="94"/>
        <v>29562.19686</v>
      </c>
      <c r="BM25" s="3">
        <f t="shared" si="94"/>
        <v>30449.062765800001</v>
      </c>
      <c r="BN25" s="3">
        <f t="shared" si="94"/>
        <v>31362.534648774003</v>
      </c>
      <c r="BO25" s="3">
        <f t="shared" si="94"/>
        <v>32303.410688237225</v>
      </c>
      <c r="BP25" s="3">
        <f t="shared" si="94"/>
        <v>33272.513008884343</v>
      </c>
      <c r="BQ25" s="3">
        <f t="shared" si="94"/>
        <v>34270.688399150873</v>
      </c>
      <c r="BR25" s="3">
        <f t="shared" si="94"/>
        <v>35298.809051125398</v>
      </c>
    </row>
    <row r="26" spans="2:122" s="3" customFormat="1" x14ac:dyDescent="0.2">
      <c r="B26" s="3" t="s">
        <v>26</v>
      </c>
      <c r="C26" s="11">
        <f t="shared" ref="C26:F26" si="96">SUM(C23:C25)</f>
        <v>10046</v>
      </c>
      <c r="D26" s="11">
        <f t="shared" si="96"/>
        <v>10658</v>
      </c>
      <c r="E26" s="11">
        <f t="shared" si="96"/>
        <v>10834</v>
      </c>
      <c r="F26" s="11">
        <f t="shared" si="96"/>
        <v>13137</v>
      </c>
      <c r="G26" s="11">
        <f t="shared" ref="G26:J26" si="97">SUM(G23:G25)</f>
        <v>12022</v>
      </c>
      <c r="H26" s="11">
        <f t="shared" si="97"/>
        <v>12468</v>
      </c>
      <c r="I26" s="11">
        <f t="shared" si="97"/>
        <v>13754</v>
      </c>
      <c r="J26" s="11">
        <f t="shared" si="97"/>
        <v>15789</v>
      </c>
      <c r="K26" s="11">
        <f t="shared" ref="K26" si="98">SUM(K23:K25)</f>
        <v>14200</v>
      </c>
      <c r="L26" s="11">
        <f t="shared" ref="L26" si="99">SUM(L23:L25)</f>
        <v>13361</v>
      </c>
      <c r="M26" s="11">
        <f t="shared" ref="M26" si="100">SUM(M23:M25)</f>
        <v>13843</v>
      </c>
      <c r="N26" s="11">
        <f t="shared" ref="N26" si="101">SUM(N23:N25)</f>
        <v>15167</v>
      </c>
      <c r="O26" s="11">
        <f>SUM(O23:O25)</f>
        <v>14774</v>
      </c>
      <c r="P26" s="11">
        <f t="shared" ref="P26:S26" si="102">SUM(P23:P25)</f>
        <v>16292</v>
      </c>
      <c r="Q26" s="11">
        <f t="shared" si="102"/>
        <v>16466</v>
      </c>
      <c r="R26" s="11">
        <f t="shared" si="102"/>
        <v>20452</v>
      </c>
      <c r="S26" s="11">
        <f t="shared" si="102"/>
        <v>18318</v>
      </c>
      <c r="T26" s="11">
        <f t="shared" ref="T26:U26" si="103">SUM(T23:T25)</f>
        <v>20128</v>
      </c>
      <c r="U26" s="11">
        <f t="shared" si="103"/>
        <v>20799</v>
      </c>
      <c r="V26" s="11">
        <f>SUM(V23:V25)</f>
        <v>22546</v>
      </c>
      <c r="W26" s="11">
        <f t="shared" ref="W26:AA26" si="104">SUM(W23:W25)</f>
        <v>21760</v>
      </c>
      <c r="X26" s="11">
        <f>SUM(X23:X25)</f>
        <v>20850</v>
      </c>
      <c r="Y26" s="11">
        <f t="shared" si="104"/>
        <v>22121</v>
      </c>
      <c r="Z26" s="11">
        <f t="shared" si="104"/>
        <v>25038</v>
      </c>
      <c r="AA26" s="11">
        <f t="shared" si="104"/>
        <v>21355</v>
      </c>
      <c r="AB26" s="11">
        <f t="shared" ref="AB26:AD26" si="105">SUM(AB23:AB25)</f>
        <v>21810</v>
      </c>
      <c r="AC26" s="11">
        <f t="shared" si="105"/>
        <v>23273</v>
      </c>
      <c r="AD26" s="11">
        <f t="shared" si="105"/>
        <v>24884</v>
      </c>
      <c r="AE26" s="11">
        <f t="shared" ref="AE26:AI26" si="106">SUM(AE23:AE25)</f>
        <v>22209.15</v>
      </c>
      <c r="AF26" s="11">
        <f t="shared" si="106"/>
        <v>26118</v>
      </c>
      <c r="AG26" s="11">
        <f t="shared" si="106"/>
        <v>29749</v>
      </c>
      <c r="AH26" s="11">
        <f t="shared" si="106"/>
        <v>32128</v>
      </c>
      <c r="AI26" s="11">
        <f t="shared" si="106"/>
        <v>28929</v>
      </c>
      <c r="AJ26" s="11">
        <f t="shared" ref="AJ26:AL26" si="107">SUM(AJ23:AJ25)</f>
        <v>33083</v>
      </c>
      <c r="AK26" s="11">
        <f t="shared" si="107"/>
        <v>35698.800000000003</v>
      </c>
      <c r="AL26" s="11">
        <f t="shared" si="107"/>
        <v>38553.599999999999</v>
      </c>
      <c r="AM26" s="11"/>
      <c r="AN26" s="3">
        <f t="shared" ref="AN26" si="108">SUM(AN23:AN25)</f>
        <v>1454.194</v>
      </c>
      <c r="AO26" s="3">
        <f t="shared" ref="AO26" si="109">SUM(AO23:AO25)</f>
        <v>2829.8940000000002</v>
      </c>
      <c r="AP26" s="3">
        <f t="shared" ref="AP26" si="110">SUM(AP23:AP25)</f>
        <v>4860.5010000000002</v>
      </c>
      <c r="AQ26" s="3">
        <f t="shared" ref="AQ26" si="111">SUM(AQ23:AQ25)</f>
        <v>6542</v>
      </c>
      <c r="AR26" s="3">
        <f t="shared" ref="AR26" si="112">SUM(AR23:AR25)</f>
        <v>6495</v>
      </c>
      <c r="AS26" s="3">
        <f t="shared" ref="AS26" si="113">SUM(AS23:AS25)</f>
        <v>8523</v>
      </c>
      <c r="AT26" s="3">
        <f t="shared" ref="AT26" si="114">SUM(AT23:AT25)</f>
        <v>12475</v>
      </c>
      <c r="AU26" s="3">
        <f t="shared" ref="AU26:AV26" si="115">SUM(AU23:AU25)</f>
        <v>15029</v>
      </c>
      <c r="AV26" s="3">
        <f t="shared" si="115"/>
        <v>18123</v>
      </c>
      <c r="AW26" s="3">
        <f>SUM(AW23:AW25)</f>
        <v>23814</v>
      </c>
      <c r="AX26" s="3">
        <f t="shared" ref="AX26:BB26" si="116">SUM(AX23:AX25)</f>
        <v>27465</v>
      </c>
      <c r="AY26" s="3">
        <f t="shared" si="116"/>
        <v>31418</v>
      </c>
      <c r="AZ26" s="3">
        <f t="shared" si="116"/>
        <v>36390</v>
      </c>
      <c r="BA26" s="3">
        <f t="shared" si="116"/>
        <v>45878</v>
      </c>
      <c r="BB26" s="3">
        <f t="shared" si="116"/>
        <v>54033</v>
      </c>
      <c r="BC26" s="3">
        <f>SUM(BC23:BC25)</f>
        <v>56571</v>
      </c>
      <c r="BD26" s="3">
        <f t="shared" ref="BD26:BF26" si="117">SUM(BD23:BD25)</f>
        <v>67984</v>
      </c>
      <c r="BE26" s="3">
        <f t="shared" si="117"/>
        <v>81791</v>
      </c>
      <c r="BF26" s="3">
        <f t="shared" si="117"/>
        <v>85880.55</v>
      </c>
      <c r="BG26" s="3">
        <f t="shared" ref="BG26:BM26" si="118">SUM(BG23:BG25)</f>
        <v>91322</v>
      </c>
      <c r="BH26" s="3">
        <f t="shared" si="118"/>
        <v>110204.15</v>
      </c>
      <c r="BI26" s="3">
        <f t="shared" si="118"/>
        <v>136264.4</v>
      </c>
      <c r="BJ26" s="3">
        <f t="shared" si="118"/>
        <v>143077.62</v>
      </c>
      <c r="BK26" s="3">
        <f t="shared" si="118"/>
        <v>150231.50100000002</v>
      </c>
      <c r="BL26" s="3">
        <f t="shared" si="118"/>
        <v>154738.44603000002</v>
      </c>
      <c r="BM26" s="3">
        <f t="shared" si="118"/>
        <v>159380.59941090003</v>
      </c>
      <c r="BN26" s="3">
        <f t="shared" ref="BN26:BR26" si="119">SUM(BN23:BN25)</f>
        <v>164162.01739322703</v>
      </c>
      <c r="BO26" s="3">
        <f t="shared" si="119"/>
        <v>169086.87791502383</v>
      </c>
      <c r="BP26" s="3">
        <f t="shared" si="119"/>
        <v>174159.48425247456</v>
      </c>
      <c r="BQ26" s="3">
        <f t="shared" si="119"/>
        <v>179384.26878004882</v>
      </c>
      <c r="BR26" s="3">
        <f t="shared" si="119"/>
        <v>184765.79684345028</v>
      </c>
    </row>
    <row r="27" spans="2:122" s="3" customFormat="1" x14ac:dyDescent="0.2">
      <c r="B27" s="3" t="s">
        <v>27</v>
      </c>
      <c r="C27" s="11">
        <f t="shared" ref="C27:F27" si="120">C22-C26</f>
        <v>7633</v>
      </c>
      <c r="D27" s="11">
        <f t="shared" si="120"/>
        <v>8116</v>
      </c>
      <c r="E27" s="11">
        <f t="shared" si="120"/>
        <v>8625</v>
      </c>
      <c r="F27" s="11">
        <f t="shared" si="120"/>
        <v>8221</v>
      </c>
      <c r="G27" s="11">
        <f t="shared" ref="G27:J27" si="121">G22-G26</f>
        <v>8305</v>
      </c>
      <c r="H27" s="11">
        <f t="shared" si="121"/>
        <v>9180</v>
      </c>
      <c r="I27" s="11">
        <f t="shared" si="121"/>
        <v>9177</v>
      </c>
      <c r="J27" s="11">
        <f t="shared" si="121"/>
        <v>9266</v>
      </c>
      <c r="K27" s="11">
        <f t="shared" ref="K27" si="122">K22-K26</f>
        <v>7977</v>
      </c>
      <c r="L27" s="11">
        <f t="shared" ref="L27" si="123">L22-L26</f>
        <v>6383</v>
      </c>
      <c r="M27" s="11">
        <f t="shared" ref="M27" si="124">M22-M26</f>
        <v>11213</v>
      </c>
      <c r="N27" s="11">
        <f t="shared" ref="N27" si="125">N22-N26</f>
        <v>15651</v>
      </c>
      <c r="O27" s="11">
        <f t="shared" ref="O27:R27" si="126">O22-O26</f>
        <v>16437</v>
      </c>
      <c r="P27" s="11">
        <f t="shared" si="126"/>
        <v>19361</v>
      </c>
      <c r="Q27" s="11">
        <f t="shared" si="126"/>
        <v>21031</v>
      </c>
      <c r="R27" s="11">
        <f t="shared" si="126"/>
        <v>21885</v>
      </c>
      <c r="S27" s="11">
        <f>S22-S26</f>
        <v>20094</v>
      </c>
      <c r="T27" s="11">
        <f t="shared" ref="T27:V27" si="127">T22-T26</f>
        <v>19453</v>
      </c>
      <c r="U27" s="11">
        <f t="shared" si="127"/>
        <v>17135</v>
      </c>
      <c r="V27" s="11">
        <f t="shared" si="127"/>
        <v>18160</v>
      </c>
      <c r="W27" s="11">
        <f t="shared" ref="W27:AA27" si="128">W22-W26</f>
        <v>17415</v>
      </c>
      <c r="X27" s="11">
        <f>X22-X26</f>
        <v>21838</v>
      </c>
      <c r="Y27" s="11">
        <f t="shared" si="128"/>
        <v>21343</v>
      </c>
      <c r="Z27" s="11">
        <f t="shared" si="128"/>
        <v>23697</v>
      </c>
      <c r="AA27" s="11">
        <f t="shared" si="128"/>
        <v>25472</v>
      </c>
      <c r="AB27" s="11">
        <f t="shared" ref="AB27:AD27" si="129">AB22-AB26</f>
        <v>27425</v>
      </c>
      <c r="AC27" s="11">
        <f t="shared" si="129"/>
        <v>28521</v>
      </c>
      <c r="AD27" s="11">
        <f t="shared" si="129"/>
        <v>30972</v>
      </c>
      <c r="AE27" s="11">
        <f t="shared" ref="AE27:AI27" si="130">AE22-AE26</f>
        <v>31663.85</v>
      </c>
      <c r="AF27" s="11">
        <f t="shared" si="130"/>
        <v>31271</v>
      </c>
      <c r="AG27" s="11">
        <f t="shared" si="130"/>
        <v>31228</v>
      </c>
      <c r="AH27" s="11">
        <f t="shared" si="130"/>
        <v>35934</v>
      </c>
      <c r="AI27" s="11">
        <f t="shared" si="130"/>
        <v>39696</v>
      </c>
      <c r="AJ27" s="11">
        <f t="shared" ref="AJ27:AL27" si="131">AJ22-AJ26</f>
        <v>40770</v>
      </c>
      <c r="AK27" s="11">
        <f t="shared" si="131"/>
        <v>43531.774999999994</v>
      </c>
      <c r="AL27" s="11">
        <f t="shared" si="131"/>
        <v>48903.507000000005</v>
      </c>
      <c r="AM27" s="11"/>
      <c r="AN27" s="3">
        <f t="shared" ref="AN27" si="132">AN22-AN26</f>
        <v>2107.2780000000002</v>
      </c>
      <c r="AO27" s="3">
        <f t="shared" ref="AO27" si="133">AO22-AO26</f>
        <v>3550.1059999999998</v>
      </c>
      <c r="AP27" s="3">
        <f t="shared" ref="AP27" si="134">AP22-AP26</f>
        <v>5084.4989999999998</v>
      </c>
      <c r="AQ27" s="3">
        <f t="shared" ref="AQ27" si="135">AQ22-AQ26</f>
        <v>6632</v>
      </c>
      <c r="AR27" s="3">
        <f t="shared" ref="AR27" si="136">AR22-AR26</f>
        <v>8312</v>
      </c>
      <c r="AS27" s="3">
        <f t="shared" ref="AS27" si="137">AS22-AS26</f>
        <v>10381</v>
      </c>
      <c r="AT27" s="3">
        <f t="shared" ref="AT27" si="138">AT22-AT26</f>
        <v>12242</v>
      </c>
      <c r="AU27" s="3">
        <f t="shared" ref="AU27:AV27" si="139">AU22-AU26</f>
        <v>13834</v>
      </c>
      <c r="AV27" s="3">
        <f t="shared" si="139"/>
        <v>15403</v>
      </c>
      <c r="AW27" s="3">
        <f>AW22-AW26</f>
        <v>16496</v>
      </c>
      <c r="AX27" s="3">
        <f t="shared" ref="AX27:BB27" si="140">AX22-AX26</f>
        <v>19360</v>
      </c>
      <c r="AY27" s="3">
        <f t="shared" si="140"/>
        <v>23716</v>
      </c>
      <c r="AZ27" s="3">
        <f t="shared" si="140"/>
        <v>28882</v>
      </c>
      <c r="BA27" s="3">
        <f t="shared" si="140"/>
        <v>31392</v>
      </c>
      <c r="BB27" s="3">
        <f t="shared" si="140"/>
        <v>35928</v>
      </c>
      <c r="BC27" s="3">
        <f>BC22-BC26</f>
        <v>41224</v>
      </c>
      <c r="BD27" s="3">
        <f t="shared" ref="BD27:BF27" si="141">BD22-BD26</f>
        <v>78714</v>
      </c>
      <c r="BE27" s="3">
        <f t="shared" si="141"/>
        <v>74842</v>
      </c>
      <c r="BF27" s="3">
        <f t="shared" si="141"/>
        <v>88181.45</v>
      </c>
      <c r="BG27" s="3">
        <f t="shared" ref="BG27:BM27" si="142">BG22-BG26</f>
        <v>112390</v>
      </c>
      <c r="BH27" s="3">
        <f t="shared" si="142"/>
        <v>115384.01000000004</v>
      </c>
      <c r="BI27" s="3">
        <f t="shared" si="142"/>
        <v>172901.28200000004</v>
      </c>
      <c r="BJ27" s="3">
        <f t="shared" si="142"/>
        <v>171047.72048000002</v>
      </c>
      <c r="BK27" s="3">
        <f t="shared" si="142"/>
        <v>185529.1090576</v>
      </c>
      <c r="BL27" s="3">
        <f t="shared" si="142"/>
        <v>204309.81824792011</v>
      </c>
      <c r="BM27" s="3">
        <f t="shared" si="142"/>
        <v>221057.73024862364</v>
      </c>
      <c r="BN27" s="3">
        <f t="shared" ref="BN27:BR27" si="143">BN22-BN26</f>
        <v>239158.3198543117</v>
      </c>
      <c r="BO27" s="3">
        <f t="shared" si="143"/>
        <v>258726.54477313528</v>
      </c>
      <c r="BP27" s="3">
        <f t="shared" si="143"/>
        <v>279887.71619457076</v>
      </c>
      <c r="BQ27" s="3">
        <f t="shared" si="143"/>
        <v>302778.4732129146</v>
      </c>
      <c r="BR27" s="3">
        <f t="shared" si="143"/>
        <v>327547.85153252498</v>
      </c>
    </row>
    <row r="28" spans="2:122" s="3" customFormat="1" x14ac:dyDescent="0.2">
      <c r="B28" s="3" t="s">
        <v>28</v>
      </c>
      <c r="C28" s="11">
        <f>2910-3031</f>
        <v>-121</v>
      </c>
      <c r="D28" s="11">
        <f>1170-1062</f>
        <v>108</v>
      </c>
      <c r="E28" s="11">
        <f>1458-1382</f>
        <v>76</v>
      </c>
      <c r="F28" s="11">
        <f>1851-1252</f>
        <v>599</v>
      </c>
      <c r="G28" s="11">
        <f>1538-1083</f>
        <v>455</v>
      </c>
      <c r="H28" s="11">
        <f>2967-2699</f>
        <v>268</v>
      </c>
      <c r="I28" s="11">
        <f>-549+1528</f>
        <v>979</v>
      </c>
      <c r="J28" s="11">
        <f>1438-395</f>
        <v>1043</v>
      </c>
      <c r="K28" s="11">
        <f>-220-814</f>
        <v>-1034</v>
      </c>
      <c r="L28" s="11">
        <v>1894</v>
      </c>
      <c r="M28" s="11">
        <f>2146-1899</f>
        <v>247</v>
      </c>
      <c r="N28" s="11">
        <v>3038</v>
      </c>
      <c r="O28" s="11">
        <v>4846</v>
      </c>
      <c r="P28" s="11">
        <v>2264</v>
      </c>
      <c r="Q28" s="11">
        <v>2033</v>
      </c>
      <c r="R28" s="11">
        <v>2517</v>
      </c>
      <c r="S28" s="11">
        <v>-1160</v>
      </c>
      <c r="T28" s="11">
        <v>-439</v>
      </c>
      <c r="U28" s="11">
        <v>-902</v>
      </c>
      <c r="V28" s="11">
        <v>-1013</v>
      </c>
      <c r="W28" s="11">
        <v>790</v>
      </c>
      <c r="X28" s="11">
        <f>65+205</f>
        <v>270</v>
      </c>
      <c r="Y28" s="11">
        <v>-146</v>
      </c>
      <c r="Z28" s="11">
        <f>715-586+115</f>
        <v>244</v>
      </c>
      <c r="AA28" s="11">
        <f>2843-2243</f>
        <v>600</v>
      </c>
      <c r="AB28" s="11">
        <f>126+714</f>
        <v>840</v>
      </c>
      <c r="AC28" s="11">
        <f>3185-1821</f>
        <v>1364</v>
      </c>
      <c r="AD28" s="11">
        <f>1271-364</f>
        <v>907</v>
      </c>
      <c r="AE28" s="11">
        <f>11183-9758</f>
        <v>1425</v>
      </c>
      <c r="AF28" s="11">
        <f>2662-1286</f>
        <v>1376</v>
      </c>
      <c r="AG28" s="11">
        <f>12759-10734</f>
        <v>2025</v>
      </c>
      <c r="AH28" s="11">
        <f>3183-2302</f>
        <v>881</v>
      </c>
      <c r="AI28" s="11">
        <f>37716-36915</f>
        <v>801</v>
      </c>
      <c r="AJ28" s="11">
        <f>97983-99031</f>
        <v>-1048</v>
      </c>
      <c r="AK28" s="11">
        <f>AVERAGE(AG28:AJ28)</f>
        <v>664.75</v>
      </c>
      <c r="AL28" s="11">
        <f>AVERAGE(AH28:AK28)</f>
        <v>324.6875</v>
      </c>
      <c r="AM28" s="11"/>
      <c r="AQ28" s="3">
        <v>316</v>
      </c>
      <c r="AR28" s="3">
        <v>69</v>
      </c>
      <c r="AS28" s="3">
        <v>415</v>
      </c>
      <c r="AT28" s="3">
        <v>584</v>
      </c>
      <c r="AU28" s="3">
        <v>635</v>
      </c>
      <c r="AV28" s="3">
        <v>496</v>
      </c>
      <c r="AW28" s="3">
        <v>763</v>
      </c>
      <c r="AX28" s="3">
        <v>291</v>
      </c>
      <c r="AY28" s="3">
        <v>434</v>
      </c>
      <c r="AZ28" s="3">
        <v>1047</v>
      </c>
      <c r="BA28" s="3">
        <f>SUM(C28:F28)</f>
        <v>662</v>
      </c>
      <c r="BB28" s="3">
        <f t="shared" si="62"/>
        <v>2745</v>
      </c>
      <c r="BC28" s="3">
        <f t="shared" ref="BC28:BC30" si="144">SUM(K28:N28)</f>
        <v>4145</v>
      </c>
      <c r="BD28" s="3">
        <f t="shared" ref="BD28" si="145">SUM(O28:R28)</f>
        <v>11660</v>
      </c>
      <c r="BE28" s="3">
        <f>SUM(S28:V28)</f>
        <v>-3514</v>
      </c>
      <c r="BF28" s="3">
        <f>+BE50*$BU$39</f>
        <v>3886.5899999999997</v>
      </c>
      <c r="BG28" s="3">
        <f>SUM(AA28:AD28)</f>
        <v>3711</v>
      </c>
      <c r="BH28" s="3">
        <f t="shared" ref="BH28:BH30" si="146">SUM(AE28:AH28)</f>
        <v>5707</v>
      </c>
      <c r="BI28" s="3">
        <f t="shared" ref="BI28" si="147">SUM(AI28:AL28)</f>
        <v>742.4375</v>
      </c>
      <c r="BJ28" s="3">
        <f t="shared" ref="BJ28:BR28" si="148">+BI50*$BU$39</f>
        <v>8235.1811887500007</v>
      </c>
      <c r="BK28" s="3">
        <f t="shared" si="148"/>
        <v>12645.540569801249</v>
      </c>
      <c r="BL28" s="3">
        <f t="shared" si="148"/>
        <v>17520.636950635322</v>
      </c>
      <c r="BM28" s="3">
        <f t="shared" si="148"/>
        <v>22977.666148519784</v>
      </c>
      <c r="BN28" s="3">
        <f t="shared" si="148"/>
        <v>28980.936899889515</v>
      </c>
      <c r="BO28" s="3">
        <f t="shared" si="148"/>
        <v>35577.162616042864</v>
      </c>
      <c r="BP28" s="3">
        <f t="shared" si="148"/>
        <v>42817.033817816642</v>
      </c>
      <c r="BQ28" s="3">
        <f t="shared" si="148"/>
        <v>50755.570668121371</v>
      </c>
      <c r="BR28" s="3">
        <f t="shared" si="148"/>
        <v>59452.508147594861</v>
      </c>
    </row>
    <row r="29" spans="2:122" s="3" customFormat="1" x14ac:dyDescent="0.2">
      <c r="B29" s="3" t="s">
        <v>29</v>
      </c>
      <c r="C29" s="11">
        <f t="shared" ref="C29:F29" si="149">C27+C28</f>
        <v>7512</v>
      </c>
      <c r="D29" s="11">
        <f t="shared" si="149"/>
        <v>8224</v>
      </c>
      <c r="E29" s="11">
        <f t="shared" si="149"/>
        <v>8701</v>
      </c>
      <c r="F29" s="11">
        <f t="shared" si="149"/>
        <v>8820</v>
      </c>
      <c r="G29" s="11">
        <f t="shared" ref="G29:J29" si="150">G27+G28</f>
        <v>8760</v>
      </c>
      <c r="H29" s="11">
        <f t="shared" si="150"/>
        <v>9448</v>
      </c>
      <c r="I29" s="11">
        <f t="shared" si="150"/>
        <v>10156</v>
      </c>
      <c r="J29" s="11">
        <f t="shared" si="150"/>
        <v>10309</v>
      </c>
      <c r="K29" s="11">
        <f t="shared" ref="K29" si="151">K27+K28</f>
        <v>6943</v>
      </c>
      <c r="L29" s="11">
        <f t="shared" ref="L29" si="152">L27+L28</f>
        <v>8277</v>
      </c>
      <c r="M29" s="11">
        <f t="shared" ref="M29" si="153">M27+M28</f>
        <v>11460</v>
      </c>
      <c r="N29" s="11">
        <f t="shared" ref="N29" si="154">N27+N28</f>
        <v>18689</v>
      </c>
      <c r="O29" s="11">
        <f>O27+O28</f>
        <v>21283</v>
      </c>
      <c r="P29" s="11">
        <f t="shared" ref="P29:S29" si="155">P27+P28</f>
        <v>21625</v>
      </c>
      <c r="Q29" s="11">
        <f t="shared" si="155"/>
        <v>23064</v>
      </c>
      <c r="R29" s="11">
        <f t="shared" si="155"/>
        <v>24402</v>
      </c>
      <c r="S29" s="11">
        <f t="shared" si="155"/>
        <v>18934</v>
      </c>
      <c r="T29" s="11">
        <f t="shared" ref="T29:AJ29" si="156">T27+T28</f>
        <v>19014</v>
      </c>
      <c r="U29" s="11">
        <f t="shared" si="156"/>
        <v>16233</v>
      </c>
      <c r="V29" s="11">
        <f t="shared" si="156"/>
        <v>17147</v>
      </c>
      <c r="W29" s="11">
        <f t="shared" si="156"/>
        <v>18205</v>
      </c>
      <c r="X29" s="11">
        <f t="shared" si="156"/>
        <v>22108</v>
      </c>
      <c r="Y29" s="11">
        <f t="shared" si="156"/>
        <v>21197</v>
      </c>
      <c r="Z29" s="11">
        <f t="shared" si="156"/>
        <v>23941</v>
      </c>
      <c r="AA29" s="11">
        <f t="shared" si="156"/>
        <v>26072</v>
      </c>
      <c r="AB29" s="11">
        <f t="shared" si="156"/>
        <v>28265</v>
      </c>
      <c r="AC29" s="11">
        <f t="shared" si="156"/>
        <v>29885</v>
      </c>
      <c r="AD29" s="11">
        <f t="shared" si="156"/>
        <v>31879</v>
      </c>
      <c r="AE29" s="11">
        <f t="shared" si="156"/>
        <v>33088.85</v>
      </c>
      <c r="AF29" s="11">
        <f t="shared" si="156"/>
        <v>32647</v>
      </c>
      <c r="AG29" s="11">
        <f t="shared" si="156"/>
        <v>33253</v>
      </c>
      <c r="AH29" s="11">
        <f t="shared" si="156"/>
        <v>36815</v>
      </c>
      <c r="AI29" s="11">
        <f t="shared" si="156"/>
        <v>40497</v>
      </c>
      <c r="AJ29" s="11">
        <f t="shared" si="156"/>
        <v>39722</v>
      </c>
      <c r="AK29" s="11">
        <f t="shared" ref="AK29:AL29" si="157">AK27+AK28</f>
        <v>44196.524999999994</v>
      </c>
      <c r="AL29" s="11">
        <f t="shared" si="157"/>
        <v>49228.194500000005</v>
      </c>
      <c r="AM29" s="11"/>
      <c r="AN29" s="3">
        <f t="shared" ref="AN29:AS29" si="158">+AN27+AN28</f>
        <v>2107.2780000000002</v>
      </c>
      <c r="AO29" s="3">
        <f t="shared" si="158"/>
        <v>3550.1059999999998</v>
      </c>
      <c r="AP29" s="3">
        <f t="shared" si="158"/>
        <v>5084.4989999999998</v>
      </c>
      <c r="AQ29" s="3">
        <f t="shared" si="158"/>
        <v>6948</v>
      </c>
      <c r="AR29" s="3">
        <f t="shared" si="158"/>
        <v>8381</v>
      </c>
      <c r="AS29" s="3">
        <f t="shared" si="158"/>
        <v>10796</v>
      </c>
      <c r="AT29" s="3">
        <f t="shared" ref="AT29:BB29" si="159">+AT27+AT28</f>
        <v>12826</v>
      </c>
      <c r="AU29" s="3">
        <f t="shared" si="159"/>
        <v>14469</v>
      </c>
      <c r="AV29" s="3">
        <f t="shared" si="159"/>
        <v>15899</v>
      </c>
      <c r="AW29" s="3">
        <f t="shared" si="159"/>
        <v>17259</v>
      </c>
      <c r="AX29" s="3">
        <f t="shared" si="159"/>
        <v>19651</v>
      </c>
      <c r="AY29" s="3">
        <f t="shared" si="159"/>
        <v>24150</v>
      </c>
      <c r="AZ29" s="3">
        <f t="shared" si="159"/>
        <v>29929</v>
      </c>
      <c r="BA29" s="3">
        <f t="shared" si="159"/>
        <v>32054</v>
      </c>
      <c r="BB29" s="3">
        <f t="shared" si="159"/>
        <v>38673</v>
      </c>
      <c r="BC29" s="3">
        <f>BC27+BC28</f>
        <v>45369</v>
      </c>
      <c r="BD29" s="3">
        <f t="shared" ref="BD29:BF29" si="160">BD27+BD28</f>
        <v>90374</v>
      </c>
      <c r="BE29" s="3">
        <f t="shared" si="160"/>
        <v>71328</v>
      </c>
      <c r="BF29" s="3">
        <f t="shared" si="160"/>
        <v>92068.04</v>
      </c>
      <c r="BG29" s="3">
        <f t="shared" ref="BG29:BR29" si="161">BG27+BG28</f>
        <v>116101</v>
      </c>
      <c r="BH29" s="3">
        <f t="shared" si="161"/>
        <v>121091.01000000004</v>
      </c>
      <c r="BI29" s="3">
        <f t="shared" si="161"/>
        <v>173643.71950000004</v>
      </c>
      <c r="BJ29" s="3">
        <f t="shared" si="161"/>
        <v>179282.90166875001</v>
      </c>
      <c r="BK29" s="3">
        <f t="shared" si="161"/>
        <v>198174.64962740126</v>
      </c>
      <c r="BL29" s="3">
        <f t="shared" si="161"/>
        <v>221830.45519855543</v>
      </c>
      <c r="BM29" s="3">
        <f t="shared" si="161"/>
        <v>244035.39639714343</v>
      </c>
      <c r="BN29" s="3">
        <f t="shared" si="161"/>
        <v>268139.2567542012</v>
      </c>
      <c r="BO29" s="3">
        <f t="shared" si="161"/>
        <v>294303.70738917816</v>
      </c>
      <c r="BP29" s="3">
        <f t="shared" si="161"/>
        <v>322704.75001238741</v>
      </c>
      <c r="BQ29" s="3">
        <f t="shared" si="161"/>
        <v>353534.04388103599</v>
      </c>
      <c r="BR29" s="3">
        <f t="shared" si="161"/>
        <v>387000.35968011984</v>
      </c>
    </row>
    <row r="30" spans="2:122" s="3" customFormat="1" x14ac:dyDescent="0.2">
      <c r="B30" s="3" t="s">
        <v>30</v>
      </c>
      <c r="C30" s="11">
        <v>1142</v>
      </c>
      <c r="D30" s="11">
        <v>1020</v>
      </c>
      <c r="E30" s="11">
        <v>891</v>
      </c>
      <c r="F30" s="11">
        <v>1124</v>
      </c>
      <c r="G30" s="11">
        <v>1489</v>
      </c>
      <c r="H30" s="11">
        <v>2200</v>
      </c>
      <c r="I30" s="11">
        <v>1560</v>
      </c>
      <c r="J30" s="11">
        <v>33</v>
      </c>
      <c r="K30" s="11">
        <v>921</v>
      </c>
      <c r="L30" s="11">
        <v>1318</v>
      </c>
      <c r="M30" s="11">
        <v>2112</v>
      </c>
      <c r="N30" s="11">
        <v>3462</v>
      </c>
      <c r="O30" s="11">
        <v>3353</v>
      </c>
      <c r="P30" s="11">
        <v>3460</v>
      </c>
      <c r="Q30" s="11">
        <v>4128</v>
      </c>
      <c r="R30" s="11">
        <v>3760</v>
      </c>
      <c r="S30" s="11">
        <v>2498</v>
      </c>
      <c r="T30" s="11">
        <v>3012</v>
      </c>
      <c r="U30" s="11">
        <v>2323</v>
      </c>
      <c r="V30" s="11">
        <v>3523</v>
      </c>
      <c r="W30" s="11">
        <v>3154</v>
      </c>
      <c r="X30" s="11">
        <v>3535</v>
      </c>
      <c r="Y30" s="11">
        <v>1508</v>
      </c>
      <c r="Z30" s="11">
        <v>3725</v>
      </c>
      <c r="AA30" s="11">
        <v>4653</v>
      </c>
      <c r="AB30" s="11">
        <v>3932</v>
      </c>
      <c r="AC30" s="11">
        <v>5405</v>
      </c>
      <c r="AD30" s="11">
        <v>5707</v>
      </c>
      <c r="AE30" s="11">
        <v>7249</v>
      </c>
      <c r="AF30" s="11">
        <v>5737</v>
      </c>
      <c r="AG30" s="11">
        <v>9008</v>
      </c>
      <c r="AH30" s="11">
        <v>4662</v>
      </c>
      <c r="AI30" s="11">
        <v>14834</v>
      </c>
      <c r="AJ30" s="11">
        <f>+AJ29*0.25</f>
        <v>9930.5</v>
      </c>
      <c r="AK30" s="11">
        <f t="shared" ref="AK30:AL30" si="162">+AK29*0.25</f>
        <v>11049.131249999999</v>
      </c>
      <c r="AL30" s="11">
        <f t="shared" si="162"/>
        <v>12307.048625000001</v>
      </c>
      <c r="AM30" s="11"/>
      <c r="AN30" s="3">
        <v>676.28</v>
      </c>
      <c r="AO30" s="3">
        <v>933.59400000000005</v>
      </c>
      <c r="AP30" s="3">
        <v>1470.26</v>
      </c>
      <c r="AQ30" s="3">
        <v>1626</v>
      </c>
      <c r="AR30" s="3">
        <v>1861</v>
      </c>
      <c r="AS30" s="3">
        <v>2291</v>
      </c>
      <c r="AT30" s="3">
        <v>2589</v>
      </c>
      <c r="AU30" s="3">
        <v>2916</v>
      </c>
      <c r="AV30" s="3">
        <v>2739</v>
      </c>
      <c r="AW30" s="3">
        <v>3639</v>
      </c>
      <c r="AX30" s="3">
        <v>3303</v>
      </c>
      <c r="AY30" s="3">
        <v>4672</v>
      </c>
      <c r="AZ30" s="3">
        <v>14531</v>
      </c>
      <c r="BA30" s="3">
        <f>SUM(C30:F30)</f>
        <v>4177</v>
      </c>
      <c r="BB30" s="3">
        <f t="shared" si="62"/>
        <v>5282</v>
      </c>
      <c r="BC30" s="3">
        <f t="shared" si="144"/>
        <v>7813</v>
      </c>
      <c r="BD30" s="3">
        <f t="shared" ref="BD30" si="163">SUM(O30:R30)</f>
        <v>14701</v>
      </c>
      <c r="BE30" s="3">
        <f>SUM(S30:V30)</f>
        <v>11356</v>
      </c>
      <c r="BF30" s="3">
        <f>+BF29*0.18</f>
        <v>16572.247199999998</v>
      </c>
      <c r="BG30" s="3">
        <f>SUM(AA30:AD30)</f>
        <v>19697</v>
      </c>
      <c r="BH30" s="3">
        <f t="shared" si="146"/>
        <v>26656</v>
      </c>
      <c r="BI30" s="3">
        <f t="shared" ref="BI30" si="164">SUM(AI30:AL30)</f>
        <v>48120.679875000002</v>
      </c>
      <c r="BJ30" s="3">
        <f t="shared" ref="BJ30:BR30" si="165">+BJ29*0.18</f>
        <v>32270.922300375001</v>
      </c>
      <c r="BK30" s="3">
        <f t="shared" si="165"/>
        <v>35671.436932932229</v>
      </c>
      <c r="BL30" s="3">
        <f t="shared" si="165"/>
        <v>39929.481935739976</v>
      </c>
      <c r="BM30" s="3">
        <f t="shared" si="165"/>
        <v>43926.371351485817</v>
      </c>
      <c r="BN30" s="3">
        <f t="shared" si="165"/>
        <v>48265.066215756211</v>
      </c>
      <c r="BO30" s="3">
        <f t="shared" si="165"/>
        <v>52974.667330052071</v>
      </c>
      <c r="BP30" s="3">
        <f t="shared" si="165"/>
        <v>58086.855002229728</v>
      </c>
      <c r="BQ30" s="3">
        <f t="shared" si="165"/>
        <v>63636.127898586477</v>
      </c>
      <c r="BR30" s="3">
        <f t="shared" si="165"/>
        <v>69660.064742421571</v>
      </c>
    </row>
    <row r="31" spans="2:122" s="3" customFormat="1" x14ac:dyDescent="0.2">
      <c r="B31" s="3" t="s">
        <v>31</v>
      </c>
      <c r="C31" s="11">
        <f t="shared" ref="C31:F31" si="166">C29-C30</f>
        <v>6370</v>
      </c>
      <c r="D31" s="11">
        <f t="shared" si="166"/>
        <v>7204</v>
      </c>
      <c r="E31" s="11">
        <f t="shared" si="166"/>
        <v>7810</v>
      </c>
      <c r="F31" s="11">
        <f t="shared" si="166"/>
        <v>7696</v>
      </c>
      <c r="G31" s="11">
        <f t="shared" ref="G31:J31" si="167">G29-G30</f>
        <v>7271</v>
      </c>
      <c r="H31" s="11">
        <f t="shared" si="167"/>
        <v>7248</v>
      </c>
      <c r="I31" s="11">
        <f t="shared" si="167"/>
        <v>8596</v>
      </c>
      <c r="J31" s="11">
        <f t="shared" si="167"/>
        <v>10276</v>
      </c>
      <c r="K31" s="11">
        <f t="shared" ref="K31" si="168">K29-K30</f>
        <v>6022</v>
      </c>
      <c r="L31" s="11">
        <f t="shared" ref="L31" si="169">L29-L30</f>
        <v>6959</v>
      </c>
      <c r="M31" s="11">
        <f t="shared" ref="M31" si="170">M29-M30</f>
        <v>9348</v>
      </c>
      <c r="N31" s="11">
        <f t="shared" ref="N31" si="171">N29-N30</f>
        <v>15227</v>
      </c>
      <c r="O31" s="11">
        <f>O29-O30</f>
        <v>17930</v>
      </c>
      <c r="P31" s="11">
        <f t="shared" ref="P31:S31" si="172">P29-P30</f>
        <v>18165</v>
      </c>
      <c r="Q31" s="11">
        <f t="shared" si="172"/>
        <v>18936</v>
      </c>
      <c r="R31" s="11">
        <f t="shared" si="172"/>
        <v>20642</v>
      </c>
      <c r="S31" s="11">
        <f t="shared" si="172"/>
        <v>16436</v>
      </c>
      <c r="T31" s="11">
        <f t="shared" ref="T31:AJ31" si="173">T29-T30</f>
        <v>16002</v>
      </c>
      <c r="U31" s="11">
        <f t="shared" si="173"/>
        <v>13910</v>
      </c>
      <c r="V31" s="11">
        <f t="shared" si="173"/>
        <v>13624</v>
      </c>
      <c r="W31" s="11">
        <f t="shared" si="173"/>
        <v>15051</v>
      </c>
      <c r="X31" s="11">
        <f t="shared" si="173"/>
        <v>18573</v>
      </c>
      <c r="Y31" s="11">
        <f t="shared" si="173"/>
        <v>19689</v>
      </c>
      <c r="Z31" s="11">
        <f t="shared" si="173"/>
        <v>20216</v>
      </c>
      <c r="AA31" s="11">
        <f t="shared" si="173"/>
        <v>21419</v>
      </c>
      <c r="AB31" s="11">
        <f t="shared" si="173"/>
        <v>24333</v>
      </c>
      <c r="AC31" s="11">
        <f t="shared" si="173"/>
        <v>24480</v>
      </c>
      <c r="AD31" s="11">
        <f t="shared" si="173"/>
        <v>26172</v>
      </c>
      <c r="AE31" s="11">
        <f t="shared" si="173"/>
        <v>25839.85</v>
      </c>
      <c r="AF31" s="11">
        <f t="shared" si="173"/>
        <v>26910</v>
      </c>
      <c r="AG31" s="11">
        <f t="shared" si="173"/>
        <v>24245</v>
      </c>
      <c r="AH31" s="11">
        <f t="shared" si="173"/>
        <v>32153</v>
      </c>
      <c r="AI31" s="11">
        <f t="shared" si="173"/>
        <v>25663</v>
      </c>
      <c r="AJ31" s="11">
        <f t="shared" si="173"/>
        <v>29791.5</v>
      </c>
      <c r="AK31" s="11">
        <f t="shared" ref="AK31:AL31" si="174">AK29-AK30</f>
        <v>33147.393749999996</v>
      </c>
      <c r="AL31" s="11">
        <f t="shared" si="174"/>
        <v>36921.145875000002</v>
      </c>
      <c r="AM31" s="11"/>
      <c r="AN31" s="3">
        <f t="shared" ref="AN31:AS31" si="175">+AN29-AN30</f>
        <v>1430.9980000000003</v>
      </c>
      <c r="AO31" s="3">
        <f t="shared" si="175"/>
        <v>2616.5119999999997</v>
      </c>
      <c r="AP31" s="3">
        <f t="shared" si="175"/>
        <v>3614.2389999999996</v>
      </c>
      <c r="AQ31" s="3">
        <f t="shared" si="175"/>
        <v>5322</v>
      </c>
      <c r="AR31" s="3">
        <f t="shared" si="175"/>
        <v>6520</v>
      </c>
      <c r="AS31" s="3">
        <f t="shared" si="175"/>
        <v>8505</v>
      </c>
      <c r="AT31" s="3">
        <f t="shared" ref="AT31:BB31" si="176">+AT29-AT30</f>
        <v>10237</v>
      </c>
      <c r="AU31" s="3">
        <f t="shared" si="176"/>
        <v>11553</v>
      </c>
      <c r="AV31" s="3">
        <f t="shared" si="176"/>
        <v>13160</v>
      </c>
      <c r="AW31" s="3">
        <f t="shared" si="176"/>
        <v>13620</v>
      </c>
      <c r="AX31" s="3">
        <f t="shared" si="176"/>
        <v>16348</v>
      </c>
      <c r="AY31" s="3">
        <f t="shared" si="176"/>
        <v>19478</v>
      </c>
      <c r="AZ31" s="3">
        <f t="shared" si="176"/>
        <v>15398</v>
      </c>
      <c r="BA31" s="3">
        <f t="shared" si="176"/>
        <v>27877</v>
      </c>
      <c r="BB31" s="3">
        <f t="shared" si="176"/>
        <v>33391</v>
      </c>
      <c r="BC31" s="3">
        <f>BC29-BC30</f>
        <v>37556</v>
      </c>
      <c r="BD31" s="3">
        <f t="shared" ref="BD31:BF31" si="177">BD29-BD30</f>
        <v>75673</v>
      </c>
      <c r="BE31" s="3">
        <f t="shared" si="177"/>
        <v>59972</v>
      </c>
      <c r="BF31" s="3">
        <f t="shared" si="177"/>
        <v>75495.792799999996</v>
      </c>
      <c r="BG31" s="3">
        <f t="shared" ref="BG31:BR31" si="178">BG29-BG30</f>
        <v>96404</v>
      </c>
      <c r="BH31" s="3">
        <f t="shared" si="178"/>
        <v>94435.010000000038</v>
      </c>
      <c r="BI31" s="3">
        <f t="shared" si="178"/>
        <v>125523.03962500003</v>
      </c>
      <c r="BJ31" s="3">
        <f t="shared" si="178"/>
        <v>147011.979368375</v>
      </c>
      <c r="BK31" s="3">
        <f t="shared" si="178"/>
        <v>162503.21269446902</v>
      </c>
      <c r="BL31" s="3">
        <f t="shared" si="178"/>
        <v>181900.97326281545</v>
      </c>
      <c r="BM31" s="3">
        <f t="shared" si="178"/>
        <v>200109.02504565762</v>
      </c>
      <c r="BN31" s="3">
        <f t="shared" si="178"/>
        <v>219874.19053844499</v>
      </c>
      <c r="BO31" s="3">
        <f t="shared" si="178"/>
        <v>241329.0400591261</v>
      </c>
      <c r="BP31" s="3">
        <f t="shared" si="178"/>
        <v>264617.89501015766</v>
      </c>
      <c r="BQ31" s="3">
        <f t="shared" si="178"/>
        <v>289897.91598244954</v>
      </c>
      <c r="BR31" s="3">
        <f t="shared" si="178"/>
        <v>317340.29493769829</v>
      </c>
      <c r="BS31" s="3">
        <f t="shared" ref="BS31:CX31" si="179">+BR31*(1+$BU$37)</f>
        <v>323687.10083645227</v>
      </c>
      <c r="BT31" s="3">
        <f t="shared" si="179"/>
        <v>330160.8428531813</v>
      </c>
      <c r="BU31" s="3">
        <f t="shared" si="179"/>
        <v>336764.05971024494</v>
      </c>
      <c r="BV31" s="3">
        <f t="shared" si="179"/>
        <v>343499.34090444987</v>
      </c>
      <c r="BW31" s="3">
        <f t="shared" si="179"/>
        <v>350369.32772253884</v>
      </c>
      <c r="BX31" s="3">
        <f t="shared" si="179"/>
        <v>357376.71427698963</v>
      </c>
      <c r="BY31" s="3">
        <f t="shared" si="179"/>
        <v>364524.24856252945</v>
      </c>
      <c r="BZ31" s="3">
        <f t="shared" si="179"/>
        <v>371814.73353378003</v>
      </c>
      <c r="CA31" s="3">
        <f t="shared" si="179"/>
        <v>379251.02820445562</v>
      </c>
      <c r="CB31" s="3">
        <f t="shared" si="179"/>
        <v>386836.04876854474</v>
      </c>
      <c r="CC31" s="3">
        <f t="shared" si="179"/>
        <v>394572.76974391565</v>
      </c>
      <c r="CD31" s="3">
        <f t="shared" si="179"/>
        <v>402464.22513879399</v>
      </c>
      <c r="CE31" s="3">
        <f t="shared" si="179"/>
        <v>410513.50964156986</v>
      </c>
      <c r="CF31" s="3">
        <f t="shared" si="179"/>
        <v>418723.77983440127</v>
      </c>
      <c r="CG31" s="3">
        <f t="shared" si="179"/>
        <v>427098.25543108932</v>
      </c>
      <c r="CH31" s="3">
        <f t="shared" si="179"/>
        <v>435640.22053971112</v>
      </c>
      <c r="CI31" s="3">
        <f t="shared" si="179"/>
        <v>444353.02495050535</v>
      </c>
      <c r="CJ31" s="3">
        <f t="shared" si="179"/>
        <v>453240.08544951549</v>
      </c>
      <c r="CK31" s="3">
        <f t="shared" si="179"/>
        <v>462304.88715850579</v>
      </c>
      <c r="CL31" s="3">
        <f t="shared" si="179"/>
        <v>471550.9849016759</v>
      </c>
      <c r="CM31" s="3">
        <f t="shared" si="179"/>
        <v>480982.00459970941</v>
      </c>
      <c r="CN31" s="3">
        <f t="shared" si="179"/>
        <v>490601.64469170361</v>
      </c>
      <c r="CO31" s="3">
        <f t="shared" si="179"/>
        <v>500413.67758553766</v>
      </c>
      <c r="CP31" s="3">
        <f t="shared" si="179"/>
        <v>510421.95113724843</v>
      </c>
      <c r="CQ31" s="3">
        <f t="shared" si="179"/>
        <v>520630.39015999343</v>
      </c>
      <c r="CR31" s="3">
        <f t="shared" si="179"/>
        <v>531042.99796319334</v>
      </c>
      <c r="CS31" s="3">
        <f t="shared" si="179"/>
        <v>541663.85792245716</v>
      </c>
      <c r="CT31" s="3">
        <f t="shared" si="179"/>
        <v>552497.13508090633</v>
      </c>
      <c r="CU31" s="3">
        <f t="shared" si="179"/>
        <v>563547.07778252452</v>
      </c>
      <c r="CV31" s="3">
        <f t="shared" si="179"/>
        <v>574818.01933817507</v>
      </c>
      <c r="CW31" s="3">
        <f t="shared" si="179"/>
        <v>586314.37972493854</v>
      </c>
      <c r="CX31" s="3">
        <f t="shared" si="179"/>
        <v>598040.66731943737</v>
      </c>
      <c r="CY31" s="3">
        <f t="shared" ref="CY31:DR31" si="180">+CX31*(1+$BU$37)</f>
        <v>610001.48066582612</v>
      </c>
      <c r="CZ31" s="3">
        <f t="shared" si="180"/>
        <v>622201.51027914265</v>
      </c>
      <c r="DA31" s="3">
        <f t="shared" si="180"/>
        <v>634645.5404847255</v>
      </c>
      <c r="DB31" s="3">
        <f t="shared" si="180"/>
        <v>647338.45129442005</v>
      </c>
      <c r="DC31" s="3">
        <f t="shared" si="180"/>
        <v>660285.22032030846</v>
      </c>
      <c r="DD31" s="3">
        <f t="shared" si="180"/>
        <v>673490.92472671461</v>
      </c>
      <c r="DE31" s="3">
        <f t="shared" si="180"/>
        <v>686960.74322124897</v>
      </c>
      <c r="DF31" s="3">
        <f t="shared" si="180"/>
        <v>700699.95808567398</v>
      </c>
      <c r="DG31" s="3">
        <f t="shared" si="180"/>
        <v>714713.9572473875</v>
      </c>
      <c r="DH31" s="3">
        <f t="shared" si="180"/>
        <v>729008.23639233527</v>
      </c>
      <c r="DI31" s="3">
        <f t="shared" si="180"/>
        <v>743588.40112018201</v>
      </c>
      <c r="DJ31" s="3">
        <f t="shared" si="180"/>
        <v>758460.16914258571</v>
      </c>
      <c r="DK31" s="3">
        <f t="shared" si="180"/>
        <v>773629.37252543739</v>
      </c>
      <c r="DL31" s="3">
        <f t="shared" si="180"/>
        <v>789101.95997594611</v>
      </c>
      <c r="DM31" s="3">
        <f t="shared" si="180"/>
        <v>804883.99917546508</v>
      </c>
      <c r="DN31" s="3">
        <f t="shared" si="180"/>
        <v>820981.67915897444</v>
      </c>
      <c r="DO31" s="3">
        <f t="shared" si="180"/>
        <v>837401.312742154</v>
      </c>
      <c r="DP31" s="3">
        <f t="shared" si="180"/>
        <v>854149.3389969971</v>
      </c>
      <c r="DQ31" s="3">
        <f t="shared" si="180"/>
        <v>871232.32577693707</v>
      </c>
      <c r="DR31" s="3">
        <f t="shared" si="180"/>
        <v>888656.97229247587</v>
      </c>
    </row>
    <row r="32" spans="2:122" s="7" customFormat="1" x14ac:dyDescent="0.2">
      <c r="B32" s="9" t="s">
        <v>32</v>
      </c>
      <c r="C32" s="14">
        <f t="shared" ref="C32:I32" si="181">C31/C33</f>
        <v>8.4697310162347588</v>
      </c>
      <c r="D32" s="14">
        <f t="shared" si="181"/>
        <v>9.6032590293829863</v>
      </c>
      <c r="E32" s="14">
        <f t="shared" si="181"/>
        <v>10.403013543897789</v>
      </c>
      <c r="F32" s="14">
        <f t="shared" si="181"/>
        <v>10.980184020807563</v>
      </c>
      <c r="G32" s="14">
        <f t="shared" si="181"/>
        <v>9.7275978278465356</v>
      </c>
      <c r="H32" s="14">
        <f t="shared" si="181"/>
        <v>9.7095832568632208</v>
      </c>
      <c r="I32" s="14">
        <f t="shared" si="181"/>
        <v>11.542686185569226</v>
      </c>
      <c r="J32" s="14">
        <f t="shared" ref="J32:K32" si="182">J31/J33</f>
        <v>14.781485455858366</v>
      </c>
      <c r="K32" s="14">
        <f t="shared" si="182"/>
        <v>8.6989557497324004</v>
      </c>
      <c r="L32" s="14">
        <f t="shared" ref="L32" si="183">L31/L33</f>
        <v>10.129194904399265</v>
      </c>
      <c r="M32" s="14">
        <f t="shared" ref="M32" si="184">M31/M33</f>
        <v>13.629782562101681</v>
      </c>
      <c r="N32" s="14">
        <f t="shared" ref="N32" si="185">N31/N33</f>
        <v>22.295301836540162</v>
      </c>
      <c r="O32" s="14">
        <f t="shared" ref="O32:R32" si="186">O31/O33</f>
        <v>26.287585896482916</v>
      </c>
      <c r="P32" s="14">
        <f t="shared" si="186"/>
        <v>1.3364479105356091</v>
      </c>
      <c r="Q32" s="14">
        <f t="shared" si="186"/>
        <v>27.990344690984287</v>
      </c>
      <c r="R32" s="14">
        <f t="shared" si="186"/>
        <v>30.69474329100823</v>
      </c>
      <c r="S32" s="14">
        <f>S31/S33</f>
        <v>24.621339792764896</v>
      </c>
      <c r="T32" s="14">
        <f t="shared" ref="T32:AL32" si="187">T31/T33</f>
        <v>1.2087015635622025</v>
      </c>
      <c r="U32" s="14">
        <f t="shared" si="187"/>
        <v>1.0620752844162786</v>
      </c>
      <c r="V32" s="14">
        <f t="shared" si="187"/>
        <v>1.0522901058160192</v>
      </c>
      <c r="W32" s="14">
        <f t="shared" si="187"/>
        <v>1.1737502924432659</v>
      </c>
      <c r="X32" s="14">
        <f t="shared" si="187"/>
        <v>1.470662760313564</v>
      </c>
      <c r="Y32" s="14">
        <f t="shared" si="187"/>
        <v>1.5508034026465027</v>
      </c>
      <c r="Z32" s="14">
        <f t="shared" si="187"/>
        <v>1.6041898111410886</v>
      </c>
      <c r="AA32" s="14">
        <f t="shared" si="187"/>
        <v>1.7098267741677975</v>
      </c>
      <c r="AB32" s="14">
        <f t="shared" si="187"/>
        <v>1.9474189675870348</v>
      </c>
      <c r="AC32" s="14">
        <f t="shared" si="187"/>
        <v>1.9711732023512361</v>
      </c>
      <c r="AD32" s="14">
        <f t="shared" si="187"/>
        <v>2.119533527696793</v>
      </c>
      <c r="AE32" s="14">
        <f t="shared" si="187"/>
        <v>2.1023391099178261</v>
      </c>
      <c r="AF32" s="14">
        <f t="shared" si="187"/>
        <v>2.20609936055091</v>
      </c>
      <c r="AG32" s="14">
        <f t="shared" si="187"/>
        <v>1.9868065229861509</v>
      </c>
      <c r="AH32" s="14">
        <f t="shared" si="187"/>
        <v>2.6294569839712136</v>
      </c>
      <c r="AI32" s="14">
        <f t="shared" si="187"/>
        <v>2.0969929727079588</v>
      </c>
      <c r="AJ32" s="14">
        <f t="shared" si="187"/>
        <v>2.4203022178893492</v>
      </c>
      <c r="AK32" s="14">
        <f t="shared" si="187"/>
        <v>2.6929396173531557</v>
      </c>
      <c r="AL32" s="14">
        <f t="shared" si="187"/>
        <v>2.9995244028759447</v>
      </c>
      <c r="AM32" s="14"/>
      <c r="AT32" s="17">
        <f t="shared" ref="AT32:AZ32" si="188">AT31/AT33</f>
        <v>15.857648290775703</v>
      </c>
      <c r="AU32" s="17">
        <f t="shared" si="188"/>
        <v>17.383126946630355</v>
      </c>
      <c r="AV32" s="17">
        <f t="shared" si="188"/>
        <v>19.768902134921255</v>
      </c>
      <c r="AW32" s="17">
        <f t="shared" si="188"/>
        <v>19.823307668796485</v>
      </c>
      <c r="AX32" s="17">
        <f t="shared" si="188"/>
        <v>23.784167554135607</v>
      </c>
      <c r="AY32" s="17">
        <f t="shared" si="188"/>
        <v>27.877247368707298</v>
      </c>
      <c r="AZ32" s="17">
        <f t="shared" si="188"/>
        <v>21.885091190248783</v>
      </c>
      <c r="BA32" s="17">
        <f t="shared" ref="BA32:BF32" si="189">BA31/BA33</f>
        <v>37.749479923964799</v>
      </c>
      <c r="BB32" s="17">
        <f t="shared" si="189"/>
        <v>45.525194215923932</v>
      </c>
      <c r="BC32" s="17">
        <f t="shared" si="189"/>
        <v>54.664438712832663</v>
      </c>
      <c r="BD32" s="17">
        <f t="shared" si="189"/>
        <v>111.66578620398599</v>
      </c>
      <c r="BE32" s="17">
        <f t="shared" si="189"/>
        <v>4.5799964361174039</v>
      </c>
      <c r="BF32" s="17">
        <f t="shared" si="189"/>
        <v>5.9504073142857141</v>
      </c>
      <c r="BG32" s="17">
        <f t="shared" ref="BG32:BM32" si="190">BG31/BG33</f>
        <v>7.8825838103025347</v>
      </c>
      <c r="BH32" s="17">
        <f t="shared" si="190"/>
        <v>7.7215870809484901</v>
      </c>
      <c r="BI32" s="17">
        <f t="shared" si="190"/>
        <v>10.212390084409643</v>
      </c>
      <c r="BJ32" s="17">
        <f t="shared" si="190"/>
        <v>11.960702074107598</v>
      </c>
      <c r="BK32" s="17">
        <f t="shared" si="190"/>
        <v>13.221048525940732</v>
      </c>
      <c r="BL32" s="17">
        <f t="shared" si="190"/>
        <v>14.799224917141499</v>
      </c>
      <c r="BM32" s="17">
        <f t="shared" si="190"/>
        <v>16.280608159923329</v>
      </c>
      <c r="BN32" s="17">
        <f t="shared" ref="BN32:BR32" si="191">BN31/BN33</f>
        <v>17.888676134522118</v>
      </c>
      <c r="BO32" s="17">
        <f t="shared" si="191"/>
        <v>19.634214588355626</v>
      </c>
      <c r="BP32" s="17">
        <f t="shared" si="191"/>
        <v>21.528965321684748</v>
      </c>
      <c r="BQ32" s="17">
        <f t="shared" si="191"/>
        <v>23.585714714325196</v>
      </c>
      <c r="BR32" s="17">
        <f t="shared" si="191"/>
        <v>25.81839072004054</v>
      </c>
    </row>
    <row r="33" spans="2:73" s="3" customFormat="1" x14ac:dyDescent="0.2">
      <c r="B33" s="3" t="s">
        <v>1</v>
      </c>
      <c r="C33" s="11">
        <f>346.303+46.956+358.831</f>
        <v>752.09</v>
      </c>
      <c r="D33" s="11">
        <f>345.892+46.915+357.355</f>
        <v>750.16200000000003</v>
      </c>
      <c r="E33" s="11">
        <f>346.102+46.885+357.757</f>
        <v>750.74399999999991</v>
      </c>
      <c r="F33" s="11">
        <v>700.899</v>
      </c>
      <c r="G33" s="11">
        <f>346.134+46.582+354.745</f>
        <v>747.46100000000001</v>
      </c>
      <c r="H33" s="11">
        <f>346.013+46.525+353.941</f>
        <v>746.47899999999993</v>
      </c>
      <c r="I33" s="11">
        <f>346.731+46.515+351.468</f>
        <v>744.71399999999994</v>
      </c>
      <c r="J33" s="11">
        <v>695.19399999999996</v>
      </c>
      <c r="K33" s="11">
        <v>692.26700000000005</v>
      </c>
      <c r="L33" s="11">
        <v>687.024</v>
      </c>
      <c r="M33" s="11">
        <v>685.851</v>
      </c>
      <c r="N33" s="11">
        <v>682.96900000000005</v>
      </c>
      <c r="O33" s="11">
        <v>682.07100000000003</v>
      </c>
      <c r="P33" s="11">
        <v>13592</v>
      </c>
      <c r="Q33" s="11">
        <v>676.51900000000001</v>
      </c>
      <c r="R33" s="11">
        <v>672.49300000000005</v>
      </c>
      <c r="S33" s="11">
        <v>667.55100000000004</v>
      </c>
      <c r="T33" s="11">
        <v>13239</v>
      </c>
      <c r="U33" s="11">
        <v>13097</v>
      </c>
      <c r="V33" s="11">
        <v>12947</v>
      </c>
      <c r="W33" s="11">
        <v>12823</v>
      </c>
      <c r="X33" s="11">
        <v>12629</v>
      </c>
      <c r="Y33" s="11">
        <v>12696</v>
      </c>
      <c r="Z33" s="11">
        <v>12602</v>
      </c>
      <c r="AA33" s="11">
        <v>12527</v>
      </c>
      <c r="AB33" s="11">
        <v>12495</v>
      </c>
      <c r="AC33" s="11">
        <v>12419</v>
      </c>
      <c r="AD33" s="11">
        <v>12348</v>
      </c>
      <c r="AE33" s="11">
        <v>12291</v>
      </c>
      <c r="AF33" s="11">
        <v>12198</v>
      </c>
      <c r="AG33" s="11">
        <v>12203</v>
      </c>
      <c r="AH33" s="11">
        <v>12228</v>
      </c>
      <c r="AI33" s="11">
        <v>12238</v>
      </c>
      <c r="AJ33" s="11">
        <v>12309</v>
      </c>
      <c r="AK33" s="11">
        <f t="shared" ref="AK33:AL33" si="192">+AJ33</f>
        <v>12309</v>
      </c>
      <c r="AL33" s="11">
        <f t="shared" si="192"/>
        <v>12309</v>
      </c>
      <c r="AM33" s="11"/>
      <c r="AT33" s="3">
        <f>(253.862+68.916)*2</f>
        <v>645.55600000000004</v>
      </c>
      <c r="AU33" s="3">
        <v>664.61</v>
      </c>
      <c r="AV33" s="3">
        <f>273.518+59.328+332.846</f>
        <v>665.69200000000001</v>
      </c>
      <c r="AW33" s="3">
        <f>342.377+344.693</f>
        <v>687.06999999999994</v>
      </c>
      <c r="AX33" s="3">
        <v>687.34799999999996</v>
      </c>
      <c r="AY33" s="3">
        <f>345.131+353.575</f>
        <v>698.7059999999999</v>
      </c>
      <c r="AZ33" s="3">
        <f>345.942+357.642</f>
        <v>703.58400000000006</v>
      </c>
      <c r="BA33" s="3">
        <f>AVERAGE(C33:F33)</f>
        <v>738.47375</v>
      </c>
      <c r="BB33" s="3">
        <f>AVERAGE(G33:J33)</f>
        <v>733.46199999999999</v>
      </c>
      <c r="BC33" s="3">
        <v>687.02800000000002</v>
      </c>
      <c r="BD33" s="3">
        <v>677.67399999999998</v>
      </c>
      <c r="BE33" s="3">
        <f>AVERAGE(T33:V33)</f>
        <v>13094.333333333334</v>
      </c>
      <c r="BF33" s="3">
        <f>AVERAGE(W33:Z33)</f>
        <v>12687.5</v>
      </c>
      <c r="BG33" s="3">
        <f>AVERAGE(AE33:AH33)</f>
        <v>12230</v>
      </c>
      <c r="BH33" s="3">
        <f>AVERAGE(AE33:AH33)</f>
        <v>12230</v>
      </c>
      <c r="BI33" s="3">
        <f>AVERAGE(AI33:AL33)</f>
        <v>12291.25</v>
      </c>
      <c r="BJ33" s="3">
        <f t="shared" ref="BJ33:BM33" si="193">+BI33</f>
        <v>12291.25</v>
      </c>
      <c r="BK33" s="3">
        <f t="shared" si="193"/>
        <v>12291.25</v>
      </c>
      <c r="BL33" s="3">
        <f t="shared" si="193"/>
        <v>12291.25</v>
      </c>
      <c r="BM33" s="3">
        <f t="shared" si="193"/>
        <v>12291.25</v>
      </c>
      <c r="BN33" s="3">
        <f t="shared" ref="BN33" si="194">+BM33</f>
        <v>12291.25</v>
      </c>
      <c r="BO33" s="3">
        <f t="shared" ref="BO33" si="195">+BN33</f>
        <v>12291.25</v>
      </c>
      <c r="BP33" s="3">
        <f t="shared" ref="BP33" si="196">+BO33</f>
        <v>12291.25</v>
      </c>
      <c r="BQ33" s="3">
        <f t="shared" ref="BQ33" si="197">+BP33</f>
        <v>12291.25</v>
      </c>
      <c r="BR33" s="3">
        <f t="shared" ref="BR33" si="198">+BQ33</f>
        <v>12291.25</v>
      </c>
    </row>
    <row r="35" spans="2:73" s="18" customFormat="1" x14ac:dyDescent="0.2">
      <c r="B35" s="18" t="s">
        <v>34</v>
      </c>
      <c r="C35" s="16"/>
      <c r="D35" s="16"/>
      <c r="E35" s="16"/>
      <c r="F35" s="16"/>
      <c r="G35" s="16">
        <f>+G19/C19-1</f>
        <v>0.16673088036987083</v>
      </c>
      <c r="H35" s="16">
        <f>+H19/D19-1</f>
        <v>0.19251615273907574</v>
      </c>
      <c r="I35" s="16">
        <f>+I19/E19-1</f>
        <v>0.2003260225251926</v>
      </c>
      <c r="J35" s="16">
        <f>+J19/F19-1</f>
        <v>0.17310825949689379</v>
      </c>
      <c r="K35" s="16">
        <f t="shared" ref="K35" si="199">K19/G19-1</f>
        <v>0.13263986350752632</v>
      </c>
      <c r="L35" s="16">
        <f t="shared" ref="L35" si="200">L19/H19-1</f>
        <v>-1.6613599013968749E-2</v>
      </c>
      <c r="M35" s="16">
        <f t="shared" ref="M35" si="201">M19/I19-1</f>
        <v>0.14010222474628997</v>
      </c>
      <c r="N35" s="16">
        <f t="shared" ref="N35" si="202">N19/J19-1</f>
        <v>0.23489962018448174</v>
      </c>
      <c r="O35" s="16">
        <f t="shared" ref="O35:P35" si="203">O19/K19-1</f>
        <v>0.34391020189994892</v>
      </c>
      <c r="P35" s="16">
        <f t="shared" si="203"/>
        <v>0.61579235971486024</v>
      </c>
      <c r="Q35" s="16">
        <f t="shared" ref="Q35" si="204">Q19/M19-1</f>
        <v>0.41030472353973102</v>
      </c>
      <c r="R35" s="16">
        <f t="shared" ref="R35" si="205">R19/N19-1</f>
        <v>0.32386024113325607</v>
      </c>
      <c r="S35" s="16">
        <f>S19/O19-1</f>
        <v>0.22954405756228069</v>
      </c>
      <c r="T35" s="16">
        <f t="shared" ref="T35:X35" si="206">T19/P19-1</f>
        <v>0.12613122171945701</v>
      </c>
      <c r="U35" s="16">
        <f t="shared" si="206"/>
        <v>6.1027672840074931E-2</v>
      </c>
      <c r="V35" s="16">
        <f>V19/R19-1</f>
        <v>9.5984069034185104E-3</v>
      </c>
      <c r="W35" s="16">
        <f>W19/S19-1</f>
        <v>2.6113422828660138E-2</v>
      </c>
      <c r="X35" s="16">
        <f t="shared" si="206"/>
        <v>7.0589079428858392E-2</v>
      </c>
      <c r="Y35" s="16">
        <f t="shared" ref="Y35:AD35" si="207">Y19/U19-1</f>
        <v>0.11001273664100042</v>
      </c>
      <c r="Z35" s="16">
        <f t="shared" si="207"/>
        <v>0.13494108983799702</v>
      </c>
      <c r="AA35" s="16">
        <f t="shared" si="207"/>
        <v>0.15406880937710454</v>
      </c>
      <c r="AB35" s="16">
        <f t="shared" si="207"/>
        <v>0.13589083695244231</v>
      </c>
      <c r="AC35" s="16">
        <f t="shared" si="207"/>
        <v>0.15092642092498654</v>
      </c>
      <c r="AD35" s="16">
        <f t="shared" si="207"/>
        <v>0.11770362646275045</v>
      </c>
      <c r="AE35" s="16">
        <f t="shared" ref="AE35" si="208">AE19/AA19-1</f>
        <v>0.12037646357665222</v>
      </c>
      <c r="AF35" s="16">
        <f t="shared" ref="AF35" si="209">AF19/AB19-1</f>
        <v>0.13790092280097244</v>
      </c>
      <c r="AG35" s="16">
        <f t="shared" ref="AG35:AL35" si="210">AG19/AC19-1</f>
        <v>0.1594915484660353</v>
      </c>
      <c r="AH35" s="16">
        <f t="shared" si="210"/>
        <v>0.17994381614819277</v>
      </c>
      <c r="AI35" s="16">
        <f t="shared" si="210"/>
        <v>0.21790012633818745</v>
      </c>
      <c r="AJ35" s="16">
        <f t="shared" si="210"/>
        <v>0.2423362508814868</v>
      </c>
      <c r="AK35" s="16">
        <f t="shared" si="210"/>
        <v>0.24861987766986493</v>
      </c>
      <c r="AL35" s="16">
        <f t="shared" si="210"/>
        <v>0.23923683100818782</v>
      </c>
      <c r="AM35" s="16"/>
      <c r="AN35" s="16"/>
      <c r="AO35" s="18">
        <f t="shared" ref="AO35:AP35" si="211">AO19/AN19-1</f>
        <v>0.72760386800813204</v>
      </c>
      <c r="AP35" s="18">
        <f t="shared" si="211"/>
        <v>0.56473361621876483</v>
      </c>
      <c r="AQ35" s="18">
        <f t="shared" ref="AQ35" si="212">AQ19/AP19-1</f>
        <v>0.31348680245872007</v>
      </c>
      <c r="AR35" s="18">
        <f t="shared" ref="AR35" si="213">AR19/AQ19-1</f>
        <v>8.5107359148467676E-2</v>
      </c>
      <c r="AS35" s="18">
        <f t="shared" ref="AS35" si="214">AS19/AR19-1</f>
        <v>0.23973616337575576</v>
      </c>
      <c r="AT35" s="18">
        <f t="shared" ref="AT35" si="215">AT19/AS19-1</f>
        <v>0.2927594556802291</v>
      </c>
      <c r="AU35" s="18">
        <f t="shared" ref="AU35" si="216">AU19/AT19-1</f>
        <v>0.21458910433979694</v>
      </c>
      <c r="AV35" s="18">
        <f t="shared" ref="AV35:BE35" si="217">AV19/AU19-1</f>
        <v>0.2059123786355046</v>
      </c>
      <c r="AW35" s="18">
        <f t="shared" si="217"/>
        <v>0.18880023055170292</v>
      </c>
      <c r="AX35" s="18">
        <f t="shared" si="217"/>
        <v>0.13617975485219924</v>
      </c>
      <c r="AY35" s="18">
        <f t="shared" si="217"/>
        <v>0.20380322447292265</v>
      </c>
      <c r="AZ35" s="18">
        <f t="shared" si="217"/>
        <v>0.22801090038993266</v>
      </c>
      <c r="BA35" s="18">
        <f t="shared" si="217"/>
        <v>0.23421586757475987</v>
      </c>
      <c r="BB35" s="18">
        <f t="shared" si="217"/>
        <v>0.18300089899794614</v>
      </c>
      <c r="BC35" s="18">
        <f t="shared" si="217"/>
        <v>0.12770532012826141</v>
      </c>
      <c r="BD35" s="18">
        <f t="shared" si="217"/>
        <v>0.41150076427049154</v>
      </c>
      <c r="BE35" s="18">
        <f t="shared" si="217"/>
        <v>9.7808156437157789E-2</v>
      </c>
      <c r="BF35" s="18">
        <f t="shared" ref="BF35:BM35" si="218">BF19/BE19-1</f>
        <v>8.6827702272695095E-2</v>
      </c>
      <c r="BG35" s="18">
        <f t="shared" si="218"/>
        <v>0.13866243322901561</v>
      </c>
      <c r="BH35" s="18">
        <f t="shared" si="218"/>
        <v>0.15090081081544371</v>
      </c>
      <c r="BI35" s="18">
        <f t="shared" si="218"/>
        <v>0.2375832845128043</v>
      </c>
      <c r="BJ35" s="18">
        <f t="shared" si="218"/>
        <v>0.12515469174079419</v>
      </c>
      <c r="BK35" s="18">
        <f t="shared" si="218"/>
        <v>6.8874639481616429E-2</v>
      </c>
      <c r="BL35" s="18">
        <f t="shared" si="218"/>
        <v>6.9357910138193812E-2</v>
      </c>
      <c r="BM35" s="18">
        <f t="shared" si="218"/>
        <v>5.9574345595629019E-2</v>
      </c>
      <c r="BN35" s="18">
        <f t="shared" ref="BN35" si="219">BN19/BM19-1</f>
        <v>6.0146430588351674E-2</v>
      </c>
      <c r="BO35" s="18">
        <f t="shared" ref="BO35" si="220">BO19/BN19-1</f>
        <v>6.0728614896470523E-2</v>
      </c>
      <c r="BP35" s="18">
        <f t="shared" ref="BP35" si="221">BP19/BO19-1</f>
        <v>6.1320604655288102E-2</v>
      </c>
      <c r="BQ35" s="18">
        <f t="shared" ref="BQ35" si="222">BQ19/BP19-1</f>
        <v>6.192206783399623E-2</v>
      </c>
      <c r="BR35" s="18">
        <f t="shared" ref="BR35" si="223">BR19/BQ19-1</f>
        <v>6.253263422716282E-2</v>
      </c>
    </row>
    <row r="36" spans="2:73" s="18" customFormat="1" x14ac:dyDescent="0.2">
      <c r="B36" s="18" t="s">
        <v>48</v>
      </c>
      <c r="C36" s="16"/>
      <c r="D36" s="16"/>
      <c r="E36" s="16"/>
      <c r="F36" s="16"/>
      <c r="G36" s="16">
        <v>0.19</v>
      </c>
      <c r="H36" s="16">
        <v>0.22</v>
      </c>
      <c r="I36" s="16">
        <v>0.22</v>
      </c>
      <c r="J36" s="16">
        <v>0.19</v>
      </c>
      <c r="K36" s="16">
        <v>0.15</v>
      </c>
      <c r="L36" s="16">
        <v>0</v>
      </c>
      <c r="M36" s="16">
        <v>0.15</v>
      </c>
      <c r="N36" s="16">
        <v>0.23</v>
      </c>
      <c r="O36" s="16">
        <v>0.32</v>
      </c>
      <c r="P36" s="16">
        <v>0.56999999999999995</v>
      </c>
      <c r="Q36" s="16">
        <v>0.39</v>
      </c>
      <c r="R36" s="16">
        <v>0.28999999999999998</v>
      </c>
      <c r="S36" s="16">
        <v>0.26</v>
      </c>
      <c r="T36" s="16">
        <v>0.16</v>
      </c>
      <c r="U36" s="16">
        <v>0.11</v>
      </c>
      <c r="V36" s="16">
        <v>7.0000000000000007E-2</v>
      </c>
      <c r="W36" s="16">
        <v>0.06</v>
      </c>
      <c r="X36" s="16">
        <v>0.09</v>
      </c>
      <c r="Y36" s="16">
        <v>0.11</v>
      </c>
      <c r="Z36" s="16">
        <v>0.13</v>
      </c>
      <c r="AA36" s="16">
        <v>0.16</v>
      </c>
      <c r="AB36" s="16">
        <v>0.15</v>
      </c>
      <c r="AC36" s="16">
        <v>0.16</v>
      </c>
      <c r="AD36" s="16">
        <v>0.12</v>
      </c>
      <c r="AE36" s="16">
        <v>0.14000000000000001</v>
      </c>
      <c r="AF36" s="16">
        <v>0.13</v>
      </c>
      <c r="AG36" s="16">
        <v>0.15</v>
      </c>
      <c r="AH36" s="16">
        <v>0.17</v>
      </c>
      <c r="AI36" s="16">
        <v>0.19</v>
      </c>
      <c r="AJ36" s="16">
        <v>0.23</v>
      </c>
      <c r="AK36" s="16"/>
      <c r="AL36" s="16"/>
      <c r="AM36" s="16"/>
      <c r="AU36" s="18">
        <v>0.2</v>
      </c>
      <c r="AV36" s="18">
        <v>0.2</v>
      </c>
      <c r="AW36" s="18">
        <v>0.2</v>
      </c>
      <c r="AX36" s="18">
        <v>0.2</v>
      </c>
      <c r="AY36" s="18">
        <v>0.24</v>
      </c>
      <c r="AZ36" s="18">
        <v>0.24</v>
      </c>
      <c r="BA36" s="18">
        <v>0.22</v>
      </c>
      <c r="BB36" s="18">
        <v>0.2</v>
      </c>
      <c r="BC36" s="18">
        <v>0.14000000000000001</v>
      </c>
      <c r="BD36" s="18">
        <v>0.39</v>
      </c>
      <c r="BE36" s="18">
        <v>0.14000000000000001</v>
      </c>
      <c r="BF36" s="18">
        <v>0.1</v>
      </c>
      <c r="BG36" s="18">
        <v>0.15</v>
      </c>
      <c r="BH36" s="18">
        <v>0.15</v>
      </c>
    </row>
    <row r="37" spans="2:73" s="5" customFormat="1" x14ac:dyDescent="0.2">
      <c r="B37" s="5" t="s">
        <v>49</v>
      </c>
      <c r="C37" s="15"/>
      <c r="D37" s="15"/>
      <c r="E37" s="15"/>
      <c r="F37" s="15"/>
      <c r="G37" s="15">
        <f t="shared" ref="G37" si="224">+G17/C17-1</f>
        <v>2.4956814255841397E-2</v>
      </c>
      <c r="H37" s="15">
        <f t="shared" ref="H37" si="225">+H17/D17-1</f>
        <v>1.6335654715845527E-2</v>
      </c>
      <c r="I37" s="15">
        <f t="shared" ref="I37" si="226">+I17/E17-1</f>
        <v>2.8560738338737846E-2</v>
      </c>
      <c r="J37" s="15">
        <f t="shared" ref="J37" si="227">+J17/F17-1</f>
        <v>0.16573756432246989</v>
      </c>
      <c r="K37" s="15">
        <f t="shared" ref="K37" si="228">+K17/G17-1</f>
        <v>8.6707765999911368E-2</v>
      </c>
      <c r="L37" s="15">
        <f t="shared" ref="L37" si="229">+L17/H17-1</f>
        <v>-9.8257338634633262E-2</v>
      </c>
      <c r="M37" s="15">
        <f t="shared" ref="M37" si="230">+M17/I17-1</f>
        <v>6.4548724788812128E-2</v>
      </c>
      <c r="N37" s="15">
        <f t="shared" ref="N37" si="231">+N17/J17-1</f>
        <v>0.17355159095089201</v>
      </c>
      <c r="O37" s="15">
        <f t="shared" ref="O37" si="232">+O17/K17-1</f>
        <v>0.30107746306423966</v>
      </c>
      <c r="P37" s="15">
        <f t="shared" ref="P37:R37" si="233">+P17/L17-1</f>
        <v>0.68136404146535945</v>
      </c>
      <c r="Q37" s="15">
        <f t="shared" si="233"/>
        <v>0.43997266307236682</v>
      </c>
      <c r="R37" s="15">
        <f t="shared" si="233"/>
        <v>0.35727047613077145</v>
      </c>
      <c r="S37" s="15">
        <f>+S17/O17-1</f>
        <v>0.24276169265033398</v>
      </c>
      <c r="T37" s="15">
        <f>+T17/P17-1</f>
        <v>0.13513739712651684</v>
      </c>
      <c r="U37" s="15">
        <f>+U17/Q17-1</f>
        <v>4.2530190370722032E-2</v>
      </c>
      <c r="V37" s="15">
        <f>+V17/R17-1</f>
        <v>-1.6096625943973542E-2</v>
      </c>
      <c r="W37" s="15">
        <f t="shared" ref="W37:Z37" si="234">+W17/S17-1</f>
        <v>1.8703619566863505E-2</v>
      </c>
      <c r="X37" s="15">
        <f t="shared" si="234"/>
        <v>4.7654157143208309E-2</v>
      </c>
      <c r="Y37" s="15">
        <f t="shared" si="234"/>
        <v>0.11348289031083225</v>
      </c>
      <c r="Z37" s="15">
        <f t="shared" si="234"/>
        <v>0.12712421368885551</v>
      </c>
      <c r="AA37" s="15">
        <f t="shared" ref="AA37:AB37" si="235">+AA17/W17-1</f>
        <v>0.14363586808394668</v>
      </c>
      <c r="AB37" s="15">
        <f t="shared" si="235"/>
        <v>0.13796096462419061</v>
      </c>
      <c r="AC37" s="15">
        <f t="shared" ref="AC37" si="236">+AC17/Y17-1</f>
        <v>0.12172352700676869</v>
      </c>
      <c r="AD37" s="15">
        <f t="shared" ref="AD37" si="237">+AD17/Z17-1</f>
        <v>0.12523948354852155</v>
      </c>
      <c r="AE37" s="15">
        <f t="shared" ref="AE37" si="238">+AE17/AA17-1</f>
        <v>9.8492070370049367E-2</v>
      </c>
      <c r="AF37" s="15">
        <f t="shared" ref="AF37" si="239">+AF17/AB17-1</f>
        <v>0.11711228844132027</v>
      </c>
      <c r="AG37" s="15">
        <f t="shared" ref="AG37" si="240">+AG17/AC17-1</f>
        <v>0.14542877391920617</v>
      </c>
      <c r="AH37" s="15">
        <f t="shared" ref="AH37:AJ37" si="241">+AH17/AD17-1</f>
        <v>0.1672835622015767</v>
      </c>
      <c r="AI37" s="15">
        <f t="shared" si="241"/>
        <v>0.19125478284880271</v>
      </c>
      <c r="AJ37" s="15">
        <f t="shared" si="241"/>
        <v>0.16757704373500637</v>
      </c>
      <c r="AK37" s="15"/>
      <c r="AL37" s="15"/>
      <c r="AM37" s="15"/>
      <c r="AQ37" s="5">
        <f t="shared" ref="AQ37" si="242">+AQ17/AP17-1</f>
        <v>0.35665007011962691</v>
      </c>
      <c r="AR37" s="5">
        <f t="shared" ref="AR37" si="243">+AR17/AQ17-1</f>
        <v>9.0814485916470122E-2</v>
      </c>
      <c r="AS37" s="5">
        <f t="shared" ref="AS37" si="244">+AS17/AR17-1</f>
        <v>0.2366596705463333</v>
      </c>
      <c r="AT37" s="5">
        <f t="shared" ref="AT37" si="245">+AT17/AS17-1</f>
        <v>0.34463073441678671</v>
      </c>
      <c r="AU37" s="5">
        <f t="shared" ref="AU37" si="246">+AU17/AT17-1</f>
        <v>0.19414802065404468</v>
      </c>
      <c r="AV37" s="5">
        <f t="shared" ref="AV37" si="247">+AV17/AU17-1</f>
        <v>0.19861631594119333</v>
      </c>
      <c r="AW37" s="5">
        <f t="shared" ref="AW37:AZ37" si="248">+AW17/AV17-1</f>
        <v>0.20477259366148259</v>
      </c>
      <c r="AX37" s="5">
        <f t="shared" si="248"/>
        <v>0.16129533104136629</v>
      </c>
      <c r="AY37" s="5">
        <f t="shared" si="248"/>
        <v>0.21827071833756717</v>
      </c>
      <c r="AZ37" s="5">
        <f t="shared" si="248"/>
        <v>9.4473622324998008E-2</v>
      </c>
      <c r="BA37" s="5">
        <f t="shared" ref="BA37:BE37" si="249">+BA17/AZ17-1</f>
        <v>0.22181318130380601</v>
      </c>
      <c r="BB37" s="5">
        <f t="shared" si="249"/>
        <v>0.15028840742824978</v>
      </c>
      <c r="BC37" s="5">
        <f t="shared" si="249"/>
        <v>6.0612546501554343E-2</v>
      </c>
      <c r="BD37" s="5">
        <f t="shared" si="249"/>
        <v>0.43136783840402826</v>
      </c>
      <c r="BE37" s="5">
        <f t="shared" si="249"/>
        <v>9.0627118985438182E-2</v>
      </c>
      <c r="BF37" s="5">
        <f>+BF17/BE17-1</f>
        <v>7.7457679285934056E-2</v>
      </c>
      <c r="BG37" s="15">
        <f t="shared" ref="BG37:BM37" si="250">+BG17/BF17-1</f>
        <v>0.13169516605440124</v>
      </c>
      <c r="BH37" s="15">
        <f>+BH17/BG17-1</f>
        <v>0.13351911310353182</v>
      </c>
      <c r="BI37" s="15">
        <f t="shared" si="250"/>
        <v>0.16355797837279318</v>
      </c>
      <c r="BJ37" s="15">
        <f t="shared" si="250"/>
        <v>0.10000000000000009</v>
      </c>
      <c r="BK37" s="15">
        <f t="shared" si="250"/>
        <v>7.0000000000000062E-2</v>
      </c>
      <c r="BL37" s="15">
        <f t="shared" si="250"/>
        <v>7.0000000000000062E-2</v>
      </c>
      <c r="BM37" s="15">
        <f t="shared" si="250"/>
        <v>5.0000000000000044E-2</v>
      </c>
      <c r="BN37" s="15">
        <f t="shared" ref="BN37" si="251">+BN17/BM17-1</f>
        <v>5.0000000000000044E-2</v>
      </c>
      <c r="BO37" s="15">
        <f t="shared" ref="BO37" si="252">+BO17/BN17-1</f>
        <v>5.0000000000000044E-2</v>
      </c>
      <c r="BP37" s="15">
        <f t="shared" ref="BP37" si="253">+BP17/BO17-1</f>
        <v>5.0000000000000044E-2</v>
      </c>
      <c r="BQ37" s="15">
        <f t="shared" ref="BQ37" si="254">+BQ17/BP17-1</f>
        <v>5.0000000000000044E-2</v>
      </c>
      <c r="BR37" s="15">
        <f t="shared" ref="BR37" si="255">+BR17/BQ17-1</f>
        <v>5.0000000000000044E-2</v>
      </c>
      <c r="BT37" s="18" t="s">
        <v>72</v>
      </c>
      <c r="BU37" s="18">
        <v>0.02</v>
      </c>
    </row>
    <row r="38" spans="2:73" s="5" customFormat="1" x14ac:dyDescent="0.2">
      <c r="B38" s="5" t="s">
        <v>50</v>
      </c>
      <c r="C38" s="15"/>
      <c r="D38" s="15"/>
      <c r="E38" s="15"/>
      <c r="F38" s="15"/>
      <c r="G38" s="15"/>
      <c r="H38" s="15"/>
      <c r="I38" s="15"/>
      <c r="J38" s="15">
        <f t="shared" ref="J38" si="256">+J16/F16-1</f>
        <v>0.30846047156726764</v>
      </c>
      <c r="K38" s="15">
        <f t="shared" ref="K38" si="257">+K16/G16-1</f>
        <v>0.3348760330578513</v>
      </c>
      <c r="L38" s="15">
        <f t="shared" ref="L38" si="258">+L16/H16-1</f>
        <v>5.8007216208714851E-2</v>
      </c>
      <c r="M38" s="15">
        <f t="shared" ref="M38" si="259">+M16/I16-1</f>
        <v>0.32413249211356465</v>
      </c>
      <c r="N38" s="15">
        <f t="shared" ref="N38" si="260">+N16/J16-1</f>
        <v>0.45961416154335377</v>
      </c>
      <c r="O38" s="15">
        <f t="shared" ref="O38" si="261">+O16/K16-1</f>
        <v>0.48712233779098568</v>
      </c>
      <c r="P38" s="15">
        <f t="shared" ref="P38:U38" si="262">+P16/L16-1</f>
        <v>0.83683105981112282</v>
      </c>
      <c r="Q38" s="15">
        <f t="shared" si="262"/>
        <v>0.4304149295215407</v>
      </c>
      <c r="R38" s="15">
        <f t="shared" si="262"/>
        <v>0.25388525780682647</v>
      </c>
      <c r="S38" s="15">
        <f t="shared" si="262"/>
        <v>0.143880099916736</v>
      </c>
      <c r="T38" s="15">
        <f t="shared" si="262"/>
        <v>4.8271922307911996E-2</v>
      </c>
      <c r="U38" s="15">
        <f t="shared" si="262"/>
        <v>-1.8598195697432374E-2</v>
      </c>
      <c r="V38" s="15">
        <f>+V16/R16-1</f>
        <v>-7.7609174099386058E-2</v>
      </c>
      <c r="W38" s="15">
        <f t="shared" ref="W38:Z38" si="263">+W16/S16-1</f>
        <v>-2.5622361333527466E-2</v>
      </c>
      <c r="X38" s="15">
        <f t="shared" si="263"/>
        <v>4.4277929155313256E-2</v>
      </c>
      <c r="Y38" s="15">
        <f t="shared" si="263"/>
        <v>0.12459340970159816</v>
      </c>
      <c r="Z38" s="15">
        <f t="shared" si="263"/>
        <v>0.15534346351877426</v>
      </c>
      <c r="AA38" s="15">
        <f t="shared" ref="AA38:AB38" si="264">+AA16/W16-1</f>
        <v>0.20872553414014638</v>
      </c>
      <c r="AB38" s="15">
        <f t="shared" si="264"/>
        <v>0.13020221787345077</v>
      </c>
      <c r="AC38" s="15">
        <f t="shared" ref="AC38" si="265">+AC16/Y16-1</f>
        <v>0.12185613682092544</v>
      </c>
      <c r="AD38" s="15">
        <f t="shared" ref="AD38" si="266">+AD16/Z16-1</f>
        <v>0.1383695652173913</v>
      </c>
      <c r="AE38" s="15">
        <f t="shared" ref="AE38" si="267">+AE16/AA16-1</f>
        <v>0.10346106304079106</v>
      </c>
      <c r="AF38" s="15">
        <f t="shared" ref="AF38" si="268">+AF16/AB16-1</f>
        <v>0.1307861018123051</v>
      </c>
      <c r="AG38" s="15">
        <f t="shared" ref="AG38" si="269">+AG16/AC16-1</f>
        <v>0.15020737585472488</v>
      </c>
      <c r="AH38" s="15">
        <f t="shared" ref="AH38:AJ38" si="270">+AH16/AD16-1</f>
        <v>8.6890098348133327E-2</v>
      </c>
      <c r="AI38" s="15">
        <f t="shared" si="270"/>
        <v>0.10709084798924606</v>
      </c>
      <c r="AJ38" s="15">
        <f t="shared" si="270"/>
        <v>0.12852184565128622</v>
      </c>
      <c r="AK38" s="15"/>
      <c r="AL38" s="15"/>
      <c r="AM38" s="15"/>
      <c r="AP38" s="15"/>
      <c r="AQ38" s="15" t="s">
        <v>239</v>
      </c>
      <c r="AR38" s="15" t="s">
        <v>239</v>
      </c>
      <c r="AS38" s="15" t="s">
        <v>239</v>
      </c>
      <c r="AT38" s="15" t="s">
        <v>239</v>
      </c>
      <c r="AU38" s="15" t="s">
        <v>239</v>
      </c>
      <c r="AV38" s="15" t="s">
        <v>239</v>
      </c>
      <c r="AW38" s="15" t="s">
        <v>239</v>
      </c>
      <c r="AX38" s="15" t="s">
        <v>239</v>
      </c>
      <c r="AY38" s="15" t="s">
        <v>239</v>
      </c>
      <c r="AZ38" s="15" t="s">
        <v>239</v>
      </c>
      <c r="BA38" s="5">
        <f t="shared" ref="BA38:BD38" si="271">+BA16/AZ16-1</f>
        <v>0.36871165644171788</v>
      </c>
      <c r="BB38" s="5">
        <f t="shared" si="271"/>
        <v>0.35804571940833707</v>
      </c>
      <c r="BC38" s="5">
        <f t="shared" si="271"/>
        <v>0.30516865799722748</v>
      </c>
      <c r="BD38" s="5">
        <f t="shared" si="271"/>
        <v>0.45888124620675708</v>
      </c>
      <c r="BE38" s="5">
        <f>+BE16/BD16-1</f>
        <v>1.3797885248743258E-2</v>
      </c>
      <c r="BF38" s="5">
        <f>+BF16/BE16-1</f>
        <v>7.7522825975447018E-2</v>
      </c>
      <c r="BG38" s="15">
        <f t="shared" ref="BG38:BM38" si="272">+BG16/BF16-1</f>
        <v>0.14715963186290071</v>
      </c>
      <c r="BH38" s="15">
        <f t="shared" si="272"/>
        <v>0.11674551138407052</v>
      </c>
      <c r="BI38" s="15">
        <f t="shared" si="272"/>
        <v>0.10848960784799466</v>
      </c>
      <c r="BJ38" s="15">
        <f t="shared" si="272"/>
        <v>5.0000000000000044E-2</v>
      </c>
      <c r="BK38" s="15">
        <f t="shared" si="272"/>
        <v>5.0000000000000044E-2</v>
      </c>
      <c r="BL38" s="15">
        <f t="shared" si="272"/>
        <v>5.0000000000000044E-2</v>
      </c>
      <c r="BM38" s="15">
        <f t="shared" si="272"/>
        <v>5.0000000000000044E-2</v>
      </c>
      <c r="BN38" s="15">
        <f t="shared" ref="BN38" si="273">+BN16/BM16-1</f>
        <v>5.0000000000000044E-2</v>
      </c>
      <c r="BO38" s="15">
        <f t="shared" ref="BO38" si="274">+BO16/BN16-1</f>
        <v>5.0000000000000044E-2</v>
      </c>
      <c r="BP38" s="15">
        <f t="shared" ref="BP38" si="275">+BP16/BO16-1</f>
        <v>5.0000000000000044E-2</v>
      </c>
      <c r="BQ38" s="15">
        <f t="shared" ref="BQ38" si="276">+BQ16/BP16-1</f>
        <v>5.0000000000000044E-2</v>
      </c>
      <c r="BR38" s="15">
        <f t="shared" ref="BR38" si="277">+BR16/BQ16-1</f>
        <v>5.0000000000000044E-2</v>
      </c>
      <c r="BT38" s="18" t="s">
        <v>73</v>
      </c>
      <c r="BU38" s="21">
        <v>7.0000000000000007E-2</v>
      </c>
    </row>
    <row r="39" spans="2:73" s="5" customFormat="1" x14ac:dyDescent="0.2">
      <c r="B39" s="5" t="s">
        <v>42</v>
      </c>
      <c r="C39" s="15"/>
      <c r="D39" s="15"/>
      <c r="E39" s="15"/>
      <c r="F39" s="15"/>
      <c r="G39" s="15">
        <f t="shared" ref="G39" si="278">G18/C18-1</f>
        <v>0.1035940121305976</v>
      </c>
      <c r="H39" s="15">
        <f t="shared" ref="H39" si="279">H18/D18-1</f>
        <v>0.12493848425196852</v>
      </c>
      <c r="I39" s="15">
        <f t="shared" ref="I39" si="280">I18/E18-1</f>
        <v>0.12657022087277481</v>
      </c>
      <c r="J39" s="15">
        <f t="shared" ref="J39" si="281">J18/F18-1</f>
        <v>0.1584649628576793</v>
      </c>
      <c r="K39" s="15">
        <f t="shared" ref="K39" si="282">K18/G18-1</f>
        <v>0.11667202619346928</v>
      </c>
      <c r="L39" s="15">
        <f t="shared" ref="L39" si="283">L18/H18-1</f>
        <v>-4.3282112976431364E-2</v>
      </c>
      <c r="M39" s="15">
        <f t="shared" ref="M39" si="284">M18/I18-1</f>
        <v>0.12490091423135863</v>
      </c>
      <c r="N39" s="15">
        <f t="shared" ref="N39" si="285">N18/J18-1</f>
        <v>0.22396870225473409</v>
      </c>
      <c r="O39" s="15">
        <f t="shared" ref="O39" si="286">O18/K18-1</f>
        <v>0.33980836693020566</v>
      </c>
      <c r="P39" s="15">
        <f t="shared" ref="P39" si="287">P18/L18-1</f>
        <v>0.63090508988025484</v>
      </c>
      <c r="Q39" s="15">
        <f t="shared" ref="Q39" si="288">Q18/M18-1</f>
        <v>0.40661921875367013</v>
      </c>
      <c r="R39" s="15">
        <f t="shared" ref="R39" si="289">R18/N18-1</f>
        <v>0.31257919921320898</v>
      </c>
      <c r="S39" s="15">
        <f>S18/O18-1</f>
        <v>0.20114111532299028</v>
      </c>
      <c r="T39" s="15">
        <f t="shared" ref="T39:U39" si="290">T18/P18-1</f>
        <v>0.10117931554138115</v>
      </c>
      <c r="U39" s="15">
        <f t="shared" si="290"/>
        <v>2.4931534299645897E-2</v>
      </c>
      <c r="V39" s="15">
        <f>V18/R18-1</f>
        <v>-2.2507204610951015E-2</v>
      </c>
      <c r="W39" s="15">
        <f t="shared" ref="W39:Z39" si="291">W18/S18-1</f>
        <v>7.9548412285268544E-3</v>
      </c>
      <c r="X39" s="15">
        <f t="shared" si="291"/>
        <v>5.4804984007256419E-2</v>
      </c>
      <c r="Y39" s="15">
        <f t="shared" si="291"/>
        <v>0.1076787721785033</v>
      </c>
      <c r="Z39" s="15">
        <f t="shared" si="291"/>
        <v>0.12490049824582083</v>
      </c>
      <c r="AA39" s="15">
        <f t="shared" ref="AA39:AB39" si="292">AA18/W18-1</f>
        <v>0.13616629815529113</v>
      </c>
      <c r="AB39" s="15">
        <f t="shared" si="292"/>
        <v>0.11530512182243347</v>
      </c>
      <c r="AC39" s="15">
        <f t="shared" ref="AC39" si="293">AC18/Y18-1</f>
        <v>0.12537875444944557</v>
      </c>
      <c r="AD39" s="15">
        <f t="shared" ref="AD39" si="294">AD18/Z18-1</f>
        <v>0.10199053871656782</v>
      </c>
      <c r="AE39" s="15">
        <f t="shared" ref="AE39" si="295">AE18/AA18-1</f>
        <v>9.7531179863064255E-2</v>
      </c>
      <c r="AF39" s="15">
        <f t="shared" ref="AF39" si="296">AF18/AB18-1</f>
        <v>0.11653230169895035</v>
      </c>
      <c r="AG39" s="15">
        <f t="shared" ref="AG39" si="297">AG18/AC18-1</f>
        <v>0.13778591033851795</v>
      </c>
      <c r="AH39" s="15">
        <f t="shared" ref="AH39:AJ39" si="298">AH18/AD18-1</f>
        <v>0.13993864009322898</v>
      </c>
      <c r="AI39" s="15">
        <f t="shared" si="298"/>
        <v>0.1601392627873266</v>
      </c>
      <c r="AJ39" s="15">
        <f t="shared" si="298"/>
        <v>0.14534242758319915</v>
      </c>
      <c r="AK39" s="15"/>
      <c r="AL39" s="15"/>
      <c r="AM39" s="15"/>
      <c r="AQ39" s="5">
        <f t="shared" ref="AQ39" si="299">+AQ18/AP18-1</f>
        <v>0.31348680245872007</v>
      </c>
      <c r="AR39" s="5">
        <f t="shared" ref="AR39" si="300">+AR18/AQ18-1</f>
        <v>8.5107359148467676E-2</v>
      </c>
      <c r="AS39" s="5">
        <f t="shared" ref="AS39" si="301">+AS18/AR18-1</f>
        <v>0.23973616337575576</v>
      </c>
      <c r="AT39" s="5">
        <f t="shared" ref="AT39" si="302">+AT18/AS18-1</f>
        <v>0.2927594556802291</v>
      </c>
      <c r="AU39" s="5">
        <f t="shared" ref="AU39" si="303">+AU18/AT18-1</f>
        <v>0.21458910433979694</v>
      </c>
      <c r="AV39" s="5">
        <f t="shared" ref="AV39" si="304">+AV18/AU18-1</f>
        <v>0.20565173005495341</v>
      </c>
      <c r="AW39" s="5">
        <f t="shared" ref="AW39" si="305">+AW18/AV18-1</f>
        <v>0.1831660871601779</v>
      </c>
      <c r="AX39" s="5">
        <f t="shared" ref="AX39" si="306">+AX18/AW18-1</f>
        <v>0.13506105917105704</v>
      </c>
      <c r="AY39" s="5">
        <f t="shared" ref="AY39:AZ39" si="307">+AY18/AX18-1</f>
        <v>0.20712599270229659</v>
      </c>
      <c r="AZ39" s="5">
        <f t="shared" si="307"/>
        <v>0.18344372332859171</v>
      </c>
      <c r="BA39" s="5">
        <f t="shared" ref="BA39:BE39" si="308">+BA18/AZ18-1</f>
        <v>0.22568104346846218</v>
      </c>
      <c r="BB39" s="5">
        <f t="shared" si="308"/>
        <v>0.16319604057491333</v>
      </c>
      <c r="BC39" s="5">
        <f t="shared" si="308"/>
        <v>0.11071957846204517</v>
      </c>
      <c r="BD39" s="5">
        <f t="shared" si="308"/>
        <v>0.40853915260770313</v>
      </c>
      <c r="BE39" s="5">
        <f t="shared" si="308"/>
        <v>6.7355986005919188E-2</v>
      </c>
      <c r="BF39" s="5">
        <f>+BF18/BE18-1</f>
        <v>7.5001577735003711E-2</v>
      </c>
      <c r="BG39" s="15">
        <f t="shared" ref="BG39:BM39" si="309">+BG18/BF18-1</f>
        <v>0.11883262457667221</v>
      </c>
      <c r="BH39" s="15">
        <f t="shared" si="309"/>
        <v>0.12393336175515701</v>
      </c>
      <c r="BI39" s="15">
        <f t="shared" si="309"/>
        <v>0.14965000685688956</v>
      </c>
      <c r="BJ39" s="15">
        <f t="shared" si="309"/>
        <v>7.8686294634744636E-2</v>
      </c>
      <c r="BK39" s="15">
        <f t="shared" si="309"/>
        <v>5.9257830180001969E-2</v>
      </c>
      <c r="BL39" s="15">
        <f t="shared" si="309"/>
        <v>5.9512795385957329E-2</v>
      </c>
      <c r="BM39" s="15">
        <f t="shared" si="309"/>
        <v>4.5967740373499932E-2</v>
      </c>
      <c r="BN39" s="15">
        <f t="shared" ref="BN39" si="310">+BN18/BM18-1</f>
        <v>4.6029296836810563E-2</v>
      </c>
      <c r="BO39" s="15">
        <f t="shared" ref="BO39" si="311">+BO18/BN18-1</f>
        <v>4.6090143679098805E-2</v>
      </c>
      <c r="BP39" s="15">
        <f t="shared" ref="BP39" si="312">+BP18/BO18-1</f>
        <v>4.61502820432238E-2</v>
      </c>
      <c r="BQ39" s="15">
        <f t="shared" ref="BQ39" si="313">+BQ18/BP18-1</f>
        <v>4.6209713304540712E-2</v>
      </c>
      <c r="BR39" s="15">
        <f t="shared" ref="BR39" si="314">+BR18/BQ18-1</f>
        <v>4.626843906467637E-2</v>
      </c>
      <c r="BT39" s="5" t="s">
        <v>74</v>
      </c>
      <c r="BU39" s="5">
        <v>0.03</v>
      </c>
    </row>
    <row r="40" spans="2:73" s="5" customFormat="1" x14ac:dyDescent="0.2">
      <c r="B40" s="5" t="s">
        <v>262</v>
      </c>
      <c r="C40" s="15"/>
      <c r="D40" s="15"/>
      <c r="E40" s="15"/>
      <c r="F40" s="15"/>
      <c r="G40" s="15">
        <f t="shared" ref="G40" si="315">G15/C15-1</f>
        <v>7.9888027562446062E-2</v>
      </c>
      <c r="H40" s="15">
        <f t="shared" ref="H40" si="316">H15/D15-1</f>
        <v>8.787564766839373E-2</v>
      </c>
      <c r="I40" s="15">
        <f t="shared" ref="I40" si="317">I15/E15-1</f>
        <v>7.1632653061224572E-2</v>
      </c>
      <c r="J40" s="15">
        <f t="shared" ref="J40" si="318">J15/F15-1</f>
        <v>7.8490970856427644E-2</v>
      </c>
      <c r="K40" s="15">
        <f t="shared" ref="K40" si="319">K15/G15-1</f>
        <v>4.1475573280159495E-2</v>
      </c>
      <c r="L40" s="15">
        <f t="shared" ref="L40" si="320">L15/H15-1</f>
        <v>-9.7732901505048542E-2</v>
      </c>
      <c r="M40" s="15">
        <f t="shared" ref="M40" si="321">M15/I15-1</f>
        <v>8.9316320700818963E-2</v>
      </c>
      <c r="N40" s="15">
        <f t="shared" ref="N40" si="322">N15/J15-1</f>
        <v>0.22861405835543769</v>
      </c>
      <c r="O40" s="15">
        <f t="shared" ref="O40" si="323">O15/K15-1</f>
        <v>0.30193375454719518</v>
      </c>
      <c r="P40" s="15">
        <f t="shared" ref="P40" si="324">P15/L15-1</f>
        <v>0.60409628378378377</v>
      </c>
      <c r="Q40" s="15">
        <f t="shared" ref="Q40" si="325">Q15/M15-1</f>
        <v>0.3984265734265735</v>
      </c>
      <c r="R40" s="15">
        <f t="shared" ref="R40" si="326">R15/N15-1</f>
        <v>0.25556605046552416</v>
      </c>
      <c r="S40" s="15">
        <f t="shared" ref="S40" si="327">S15/O15-1</f>
        <v>0.20205882352941185</v>
      </c>
      <c r="T40" s="15">
        <f t="shared" ref="T40" si="328">T15/P15-1</f>
        <v>8.7139660392260065E-2</v>
      </c>
      <c r="U40" s="15">
        <f t="shared" ref="U40" si="329">U15/Q15-1</f>
        <v>-1.587698462307785E-2</v>
      </c>
      <c r="V40" s="15">
        <f t="shared" ref="V40" si="330">V15/R15-1</f>
        <v>-8.9199355185384244E-2</v>
      </c>
      <c r="W40" s="15">
        <f t="shared" ref="W40" si="331">W15/S15-1</f>
        <v>-8.294592610716911E-2</v>
      </c>
      <c r="X40" s="15">
        <f t="shared" ref="X40" si="332">X15/T15-1</f>
        <v>-4.9521733866085493E-2</v>
      </c>
      <c r="Y40" s="15">
        <f t="shared" ref="Y40" si="333">Y15/U15-1</f>
        <v>-2.5787601626016232E-2</v>
      </c>
      <c r="Z40" s="15">
        <f t="shared" ref="Z40" si="334">Z15/V15-1</f>
        <v>-2.1002949852507391E-2</v>
      </c>
      <c r="AA40" s="15">
        <f t="shared" ref="AA40" si="335">AA15/W15-1</f>
        <v>-1.1072572038420492E-2</v>
      </c>
      <c r="AB40" s="15">
        <f t="shared" ref="AB40:AD40" si="336">AB15/X15-1</f>
        <v>-5.1719745222929991E-2</v>
      </c>
      <c r="AC40" s="15">
        <f t="shared" si="336"/>
        <v>-1.5777806754466051E-2</v>
      </c>
      <c r="AD40" s="15">
        <f t="shared" si="336"/>
        <v>-4.1340243461492121E-2</v>
      </c>
      <c r="AE40" s="15">
        <f>AE15/AA15-1</f>
        <v>-2.1179009847565045E-2</v>
      </c>
      <c r="AF40" s="15">
        <f>AF15/AB15-1</f>
        <v>-1.2090274046211769E-2</v>
      </c>
      <c r="AG40" s="15">
        <f>AG15/AC15-1</f>
        <v>-2.5702172760996289E-2</v>
      </c>
      <c r="AH40" s="15">
        <f t="shared" ref="AH40:AJ40" si="337">AH15/AD15-1</f>
        <v>-1.584108624591396E-2</v>
      </c>
      <c r="AI40" s="15">
        <f t="shared" si="337"/>
        <v>-3.9277839029768447E-2</v>
      </c>
      <c r="AJ40" s="15">
        <f t="shared" si="337"/>
        <v>-6.9350013598041826E-3</v>
      </c>
      <c r="AK40" s="15"/>
      <c r="AL40" s="15"/>
      <c r="AM40" s="15"/>
      <c r="AP40" s="15"/>
      <c r="AQ40" s="15">
        <f t="shared" ref="AQ40:AR40" si="338">+AQ15/AP15-1</f>
        <v>0.16017899410839864</v>
      </c>
      <c r="AR40" s="15">
        <f t="shared" si="338"/>
        <v>6.716306775874914E-2</v>
      </c>
      <c r="AS40" s="15">
        <f t="shared" ref="AS40" si="339">+AS15/AR15-1</f>
        <v>0.22690482835612613</v>
      </c>
      <c r="AT40" s="15">
        <f t="shared" ref="AT40" si="340">+AT15/AS15-1</f>
        <v>0.18130118289353958</v>
      </c>
      <c r="AU40" s="15">
        <f t="shared" ref="AU40:AV40" si="341">+AU15/AT15-1</f>
        <v>0.20017331022530338</v>
      </c>
      <c r="AV40" s="15">
        <f t="shared" si="341"/>
        <v>9.5066185318892993E-2</v>
      </c>
      <c r="AW40" s="15">
        <f t="shared" ref="AW40" si="342">+AW15/AV15-1</f>
        <v>6.5128205128205163E-2</v>
      </c>
      <c r="AX40" s="15">
        <f t="shared" ref="AX40:AY40" si="343">+AX15/AW15-1</f>
        <v>3.3977577550037719E-2</v>
      </c>
      <c r="AY40" s="15">
        <f t="shared" si="343"/>
        <v>3.7583981906472497E-2</v>
      </c>
      <c r="AZ40" s="15">
        <f t="shared" ref="AZ40" si="344">+AZ15/AY15-1</f>
        <v>0.12937556096935499</v>
      </c>
      <c r="BA40" s="15">
        <f t="shared" ref="BA40:BG40" si="345">+BA15/AZ15-1</f>
        <v>0.13589918256130784</v>
      </c>
      <c r="BB40" s="15">
        <f t="shared" si="345"/>
        <v>7.6811594202898625E-2</v>
      </c>
      <c r="BC40" s="15">
        <f t="shared" si="345"/>
        <v>7.161089710864621E-2</v>
      </c>
      <c r="BD40" s="15">
        <f t="shared" si="345"/>
        <v>0.37293200519705505</v>
      </c>
      <c r="BE40" s="15">
        <f t="shared" si="345"/>
        <v>3.4036781174095365E-2</v>
      </c>
      <c r="BF40" s="15">
        <f t="shared" si="345"/>
        <v>-4.4783404514948111E-2</v>
      </c>
      <c r="BG40" s="15">
        <f t="shared" si="345"/>
        <v>-3.0435615738375055E-2</v>
      </c>
      <c r="BH40" s="15">
        <f>+BH15/BG15-1</f>
        <v>-1.8676504496195512E-2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spans="2:73" s="5" customFormat="1" x14ac:dyDescent="0.2">
      <c r="B41" s="5" t="s">
        <v>263</v>
      </c>
      <c r="C41" s="15"/>
      <c r="D41" s="15"/>
      <c r="E41" s="15"/>
      <c r="F41" s="15"/>
      <c r="G41" s="15">
        <f t="shared" ref="G41" si="346">G14/C14-1</f>
        <v>-0.16858061552595316</v>
      </c>
      <c r="H41" s="15">
        <f t="shared" ref="H41" si="347">H14/D14-1</f>
        <v>-7.7966101694915246E-2</v>
      </c>
      <c r="I41" s="15">
        <f t="shared" ref="I41" si="348">I14/E14-1</f>
        <v>-0.12715517241379315</v>
      </c>
      <c r="J41" s="15">
        <f t="shared" ref="J41" si="349">J14/F14-1</f>
        <v>0.10333263466778453</v>
      </c>
      <c r="K41" s="15">
        <f t="shared" ref="K41" si="350">K14/G14-1</f>
        <v>0.22513812154696122</v>
      </c>
      <c r="L41" s="15">
        <f t="shared" ref="L41" si="351">L14/H14-1</f>
        <v>0.25588235294117645</v>
      </c>
      <c r="M41" s="15">
        <f t="shared" ref="M41" si="352">M14/I14-1</f>
        <v>0.35259259259259257</v>
      </c>
      <c r="N41" s="15">
        <f t="shared" ref="N41" si="353">N14/J14-1</f>
        <v>0.26785714285714279</v>
      </c>
      <c r="O41" s="15">
        <f t="shared" ref="O41" si="354">O14/K14-1</f>
        <v>0.46426155580608786</v>
      </c>
      <c r="P41" s="15">
        <f t="shared" ref="P41" si="355">P14/L14-1</f>
        <v>0.29254488680718183</v>
      </c>
      <c r="Q41" s="15">
        <f t="shared" ref="Q41" si="356">Q14/M14-1</f>
        <v>0.23293172690763053</v>
      </c>
      <c r="R41" s="15">
        <f t="shared" ref="R41" si="357">R14/N14-1</f>
        <v>0.22280491459394658</v>
      </c>
      <c r="S41" s="15">
        <f t="shared" ref="S41" si="358">S14/O14-1</f>
        <v>4.8814290113951442E-2</v>
      </c>
      <c r="T41" s="15">
        <f t="shared" ref="T41" si="359">T14/P14-1</f>
        <v>-1.0569228446323464E-2</v>
      </c>
      <c r="U41" s="15">
        <f t="shared" ref="U41" si="360">U14/Q14-1</f>
        <v>2.0876517619188739E-2</v>
      </c>
      <c r="V41" s="15">
        <f t="shared" ref="V41" si="361">V14/R14-1</f>
        <v>7.7809092023036319E-2</v>
      </c>
      <c r="W41" s="15">
        <f t="shared" ref="W41" si="362">W14/S14-1</f>
        <v>8.8386433710174739E-2</v>
      </c>
      <c r="X41" s="15">
        <f t="shared" ref="X41" si="363">X14/T14-1</f>
        <v>0.24248435830917137</v>
      </c>
      <c r="Y41" s="15">
        <f t="shared" ref="Y41" si="364">Y14/U14-1</f>
        <v>0.20942712110224804</v>
      </c>
      <c r="Z41" s="15">
        <f t="shared" ref="Z41:AC41" si="365">Z14/V14-1</f>
        <v>0.22714870395634379</v>
      </c>
      <c r="AA41" s="15">
        <f t="shared" si="365"/>
        <v>0.17887494941319293</v>
      </c>
      <c r="AB41" s="15">
        <f t="shared" si="365"/>
        <v>0.14369933677229185</v>
      </c>
      <c r="AC41" s="15">
        <f t="shared" si="365"/>
        <v>0.2778510612783307</v>
      </c>
      <c r="AD41" s="15">
        <f>AD14/Z14-1</f>
        <v>7.772836761163604E-2</v>
      </c>
      <c r="AE41" s="15">
        <f>AE14/AA14-1</f>
        <v>0.18766449250486317</v>
      </c>
      <c r="AF41" s="15">
        <f>AF14/AB14-1</f>
        <v>0.20307130584192445</v>
      </c>
      <c r="AG41" s="15">
        <f>AG14/AC14-1</f>
        <v>0.20777027027027017</v>
      </c>
      <c r="AH41" s="15">
        <f t="shared" ref="AH41:AJ41" si="366">AH14/AD14-1</f>
        <v>0.1671967678156967</v>
      </c>
      <c r="AI41" s="15">
        <f t="shared" si="366"/>
        <v>0.19317853357741588</v>
      </c>
      <c r="AJ41" s="15">
        <f t="shared" si="366"/>
        <v>0.15245916272427018</v>
      </c>
      <c r="AK41" s="15"/>
      <c r="AL41" s="15"/>
      <c r="AM41" s="15"/>
      <c r="AP41" s="15"/>
      <c r="AQ41" s="15">
        <f t="shared" ref="AQ41:AR41" si="367">+AQ14/AP14-1</f>
        <v>2.6769570011025356</v>
      </c>
      <c r="AR41" s="15">
        <f t="shared" si="367"/>
        <v>0.14242878560719641</v>
      </c>
      <c r="AS41" s="15">
        <f t="shared" ref="AS41" si="368">+AS14/AR14-1</f>
        <v>0.42388451443569553</v>
      </c>
      <c r="AT41" s="15">
        <f t="shared" ref="AT41" si="369">+AT14/AS14-1</f>
        <v>0.26635944700460823</v>
      </c>
      <c r="AU41" s="15">
        <f t="shared" ref="AU41:AV41" si="370">+AU14/AT14-1</f>
        <v>0.71251819505094605</v>
      </c>
      <c r="AV41" s="15">
        <f t="shared" si="370"/>
        <v>0.88482787930301732</v>
      </c>
      <c r="AW41" s="15">
        <f t="shared" ref="AW41" si="371">+AW14/AV14-1</f>
        <v>0.36414881623449835</v>
      </c>
      <c r="AX41" s="15">
        <f t="shared" ref="AX41:AY41" si="372">+AX14/AW14-1</f>
        <v>0.18247933884297529</v>
      </c>
      <c r="AY41" s="15">
        <f t="shared" si="372"/>
        <v>0.48182834777746719</v>
      </c>
      <c r="AZ41" s="15">
        <f t="shared" ref="AZ41" si="373">+AZ14/AY14-1</f>
        <v>2.9525516460711332E-2</v>
      </c>
      <c r="BA41" s="15">
        <f t="shared" ref="BA41:BG41" si="374">+BA14/AZ14-1</f>
        <v>0.28852849551035376</v>
      </c>
      <c r="BB41" s="15">
        <f t="shared" si="374"/>
        <v>0.20984142786034266</v>
      </c>
      <c r="BC41" s="15">
        <f t="shared" si="374"/>
        <v>0.27606676854355228</v>
      </c>
      <c r="BD41" s="15">
        <f t="shared" si="374"/>
        <v>0.29114273870388274</v>
      </c>
      <c r="BE41" s="15">
        <f t="shared" si="374"/>
        <v>3.6494006849315141E-2</v>
      </c>
      <c r="BF41" s="15">
        <f t="shared" si="374"/>
        <v>0.19387368783341929</v>
      </c>
      <c r="BG41" s="15">
        <f t="shared" si="374"/>
        <v>0.16293819188191883</v>
      </c>
      <c r="BH41" s="15">
        <f>+BH14/BG14-1</f>
        <v>0.1906296479920675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spans="2:73" s="5" customFormat="1" x14ac:dyDescent="0.2">
      <c r="B42" s="5" t="s">
        <v>43</v>
      </c>
      <c r="C42" s="15"/>
      <c r="D42" s="15"/>
      <c r="E42" s="15"/>
      <c r="F42" s="15"/>
      <c r="G42" s="15"/>
      <c r="H42" s="15"/>
      <c r="I42" s="15"/>
      <c r="J42" s="15">
        <f t="shared" ref="J42" si="375">J13/F13-1</f>
        <v>0.529549444119368</v>
      </c>
      <c r="K42" s="15">
        <f t="shared" ref="K42" si="376">K13/G13-1</f>
        <v>0.52164383561643834</v>
      </c>
      <c r="L42" s="15">
        <f t="shared" ref="L42" si="377">L13/H13-1</f>
        <v>0.43190476190476201</v>
      </c>
      <c r="M42" s="15">
        <f t="shared" ref="M42" si="378">M13/I13-1</f>
        <v>0.44766708701134927</v>
      </c>
      <c r="N42" s="15">
        <f t="shared" ref="N42" si="379">N13/J13-1</f>
        <v>0.46557000765110934</v>
      </c>
      <c r="O42" s="15">
        <f t="shared" ref="O42" si="380">O13/K13-1</f>
        <v>0.4573280518545193</v>
      </c>
      <c r="P42" s="15">
        <f t="shared" ref="P42" si="381">P13/L13-1</f>
        <v>0.53907549052211512</v>
      </c>
      <c r="Q42" s="15">
        <f t="shared" ref="Q42" si="382">Q13/M13-1</f>
        <v>0.44889663182346107</v>
      </c>
      <c r="R42" s="15">
        <f t="shared" ref="R42" si="383">R13/N13-1</f>
        <v>0.44635865309318712</v>
      </c>
      <c r="S42" s="15">
        <f>S13/O13-1</f>
        <v>0.4383493946132937</v>
      </c>
      <c r="T42" s="15">
        <f t="shared" ref="T42:U42" si="384">T13/P13-1</f>
        <v>0.35609334485738975</v>
      </c>
      <c r="U42" s="15">
        <f t="shared" si="384"/>
        <v>0.37635270541082155</v>
      </c>
      <c r="V42" s="15">
        <f>V13/R13-1</f>
        <v>0.3201588160981772</v>
      </c>
      <c r="W42" s="15">
        <f t="shared" ref="W42:Z42" si="385">W13/S13-1</f>
        <v>0.28053599037965982</v>
      </c>
      <c r="X42" s="15">
        <f t="shared" si="385"/>
        <v>0.2796367112810707</v>
      </c>
      <c r="Y42" s="15">
        <f t="shared" si="385"/>
        <v>0.22466511357018049</v>
      </c>
      <c r="Z42" s="15">
        <f t="shared" si="385"/>
        <v>0.25659603554340404</v>
      </c>
      <c r="AA42" s="15">
        <f t="shared" ref="AA42:AB42" si="386">AA13/W13-1</f>
        <v>0.28441105446740012</v>
      </c>
      <c r="AB42" s="15">
        <f t="shared" si="386"/>
        <v>0.28838251774374291</v>
      </c>
      <c r="AC42" s="15">
        <f>AC13/Y13-1</f>
        <v>0.34978004993460954</v>
      </c>
      <c r="AD42" s="15">
        <f t="shared" ref="AD42" si="387">AD13/Z13-1</f>
        <v>0.3005874673629243</v>
      </c>
      <c r="AE42" s="15">
        <f t="shared" ref="AE42" si="388">AE13/AA13-1</f>
        <v>0.28055149362857734</v>
      </c>
      <c r="AF42" s="15">
        <f t="shared" ref="AF42" si="389">AF13/AB13-1</f>
        <v>0.31671015753358467</v>
      </c>
      <c r="AG42" s="15">
        <f t="shared" ref="AG42" si="390">AG13/AC13-1</f>
        <v>0.33506562142165075</v>
      </c>
      <c r="AH42" s="15">
        <f t="shared" ref="AH42:AJ42" si="391">AH13/AD13-1</f>
        <v>0.47754077791718941</v>
      </c>
      <c r="AI42" s="15">
        <f t="shared" si="391"/>
        <v>0.63360522022838506</v>
      </c>
      <c r="AJ42" s="15">
        <f t="shared" si="391"/>
        <v>0.817968291250734</v>
      </c>
      <c r="AK42" s="15"/>
      <c r="AL42" s="15"/>
      <c r="AM42" s="15"/>
      <c r="AP42" s="15"/>
      <c r="AQ42" s="15" t="s">
        <v>239</v>
      </c>
      <c r="AR42" s="15" t="s">
        <v>239</v>
      </c>
      <c r="AS42" s="15" t="s">
        <v>239</v>
      </c>
      <c r="AT42" s="15" t="s">
        <v>239</v>
      </c>
      <c r="AU42" s="15" t="s">
        <v>239</v>
      </c>
      <c r="AV42" s="15" t="s">
        <v>239</v>
      </c>
      <c r="AW42" s="15" t="s">
        <v>239</v>
      </c>
      <c r="AX42" s="15" t="s">
        <v>239</v>
      </c>
      <c r="AY42" s="15" t="s">
        <v>239</v>
      </c>
      <c r="AZ42" s="15" t="s">
        <v>239</v>
      </c>
      <c r="BA42" s="5">
        <f t="shared" ref="BA42:BE42" si="392">+BA13/AZ13-1</f>
        <v>0.43934911242603558</v>
      </c>
      <c r="BB42" s="5">
        <f t="shared" si="392"/>
        <v>0.52757793764988015</v>
      </c>
      <c r="BC42" s="5">
        <f t="shared" si="392"/>
        <v>0.46434178066831122</v>
      </c>
      <c r="BD42" s="5">
        <f t="shared" si="392"/>
        <v>0.47070985527222597</v>
      </c>
      <c r="BE42" s="5">
        <f t="shared" si="392"/>
        <v>0.36832239925023424</v>
      </c>
      <c r="BF42" s="5">
        <f>+BF13/BE13-1</f>
        <v>0.25905631659056327</v>
      </c>
      <c r="BG42" s="15">
        <f t="shared" ref="BG42:BM42" si="393">+BG13/BF13-1</f>
        <v>0.30648573500967125</v>
      </c>
      <c r="BH42" s="15">
        <f t="shared" si="393"/>
        <v>0.35800041638714752</v>
      </c>
      <c r="BI42" s="15">
        <f t="shared" si="393"/>
        <v>0.76019078443062771</v>
      </c>
      <c r="BJ42" s="15">
        <f t="shared" si="393"/>
        <v>0.30000000000000004</v>
      </c>
      <c r="BK42" s="15">
        <f t="shared" si="393"/>
        <v>0.10000000000000009</v>
      </c>
      <c r="BL42" s="15">
        <f t="shared" si="393"/>
        <v>0.10000000000000009</v>
      </c>
      <c r="BM42" s="15">
        <f t="shared" si="393"/>
        <v>0.10000000000000009</v>
      </c>
      <c r="BN42" s="15">
        <f t="shared" ref="BN42" si="394">+BN13/BM13-1</f>
        <v>0.10000000000000009</v>
      </c>
      <c r="BO42" s="15">
        <f t="shared" ref="BO42" si="395">+BO13/BN13-1</f>
        <v>0.10000000000000009</v>
      </c>
      <c r="BP42" s="15">
        <f t="shared" ref="BP42" si="396">+BP13/BO13-1</f>
        <v>0.10000000000000009</v>
      </c>
      <c r="BQ42" s="15">
        <f t="shared" ref="BQ42" si="397">+BQ13/BP13-1</f>
        <v>0.10000000000000009</v>
      </c>
      <c r="BR42" s="15">
        <f t="shared" ref="BR42" si="398">+BR13/BQ13-1</f>
        <v>0.10000000000000009</v>
      </c>
      <c r="BT42" s="5" t="s">
        <v>75</v>
      </c>
      <c r="BU42" s="3">
        <f>NPV(BU38,BJ31:DV31)+Main!L5-Main!L6+BI31</f>
        <v>4914890.1790763987</v>
      </c>
    </row>
    <row r="43" spans="2:73" s="18" customFormat="1" x14ac:dyDescent="0.2">
      <c r="B43" s="18" t="s">
        <v>33</v>
      </c>
      <c r="C43" s="16">
        <f t="shared" ref="C43:J43" si="399">C22/C19</f>
        <v>0.56761702947408976</v>
      </c>
      <c r="D43" s="16">
        <f t="shared" si="399"/>
        <v>0.57488440456869894</v>
      </c>
      <c r="E43" s="16">
        <f t="shared" ref="E43:F43" si="400">E22/E19</f>
        <v>0.57673384706579722</v>
      </c>
      <c r="F43" s="16">
        <f t="shared" si="400"/>
        <v>0.54379264690905382</v>
      </c>
      <c r="G43" s="16">
        <f t="shared" si="399"/>
        <v>0.55937147417375277</v>
      </c>
      <c r="H43" s="16">
        <f t="shared" si="399"/>
        <v>0.55587510271158591</v>
      </c>
      <c r="I43" s="16">
        <f t="shared" si="399"/>
        <v>0.56621151139534309</v>
      </c>
      <c r="J43" s="16">
        <f t="shared" si="399"/>
        <v>0.54378730330982095</v>
      </c>
      <c r="K43" s="16">
        <f t="shared" ref="K43:L43" si="401">K22/K19</f>
        <v>0.53881289632887097</v>
      </c>
      <c r="L43" s="16">
        <f t="shared" si="401"/>
        <v>0.51554952085019712</v>
      </c>
      <c r="M43" s="16">
        <f t="shared" ref="M43" si="402">M22/M19</f>
        <v>0.54265479825872265</v>
      </c>
      <c r="N43" s="16">
        <f t="shared" ref="N43" si="403">N22/N19</f>
        <v>0.54163590987380927</v>
      </c>
      <c r="O43" s="16">
        <f>O22/O19</f>
        <v>0.56425136493473627</v>
      </c>
      <c r="P43" s="16">
        <f t="shared" ref="P43:S43" si="404">P22/P19</f>
        <v>0.57616354234001288</v>
      </c>
      <c r="Q43" s="16">
        <f t="shared" si="404"/>
        <v>0.57583156730857832</v>
      </c>
      <c r="R43" s="16">
        <f t="shared" si="404"/>
        <v>0.56205774975107869</v>
      </c>
      <c r="S43" s="16">
        <f t="shared" si="404"/>
        <v>0.5647909896928438</v>
      </c>
      <c r="T43" s="16">
        <f t="shared" ref="T43:U43" si="405">T22/T19</f>
        <v>0.56799885197675248</v>
      </c>
      <c r="U43" s="16">
        <f t="shared" si="405"/>
        <v>0.54903606785156023</v>
      </c>
      <c r="V43" s="16">
        <f>V22/V19</f>
        <v>0.53526719966337055</v>
      </c>
      <c r="W43" s="16">
        <f t="shared" ref="W43:Z43" si="406">W22/W19</f>
        <v>0.56135096794531936</v>
      </c>
      <c r="X43" s="16">
        <f t="shared" si="406"/>
        <v>0.5721945204010509</v>
      </c>
      <c r="Y43" s="16">
        <f t="shared" si="406"/>
        <v>0.56672708069836886</v>
      </c>
      <c r="Z43" s="16">
        <f t="shared" si="406"/>
        <v>0.56465067778936395</v>
      </c>
      <c r="AA43" s="16">
        <f t="shared" ref="AA43:AI43" si="407">AA22/AA19</f>
        <v>0.58142018152696207</v>
      </c>
      <c r="AB43" s="16">
        <f t="shared" si="407"/>
        <v>0.58099879634655782</v>
      </c>
      <c r="AC43" s="16">
        <f t="shared" si="407"/>
        <v>0.58678116644763678</v>
      </c>
      <c r="AD43" s="16">
        <f t="shared" si="407"/>
        <v>0.5790046543449191</v>
      </c>
      <c r="AE43" s="16">
        <f t="shared" si="407"/>
        <v>0.5970365937451515</v>
      </c>
      <c r="AF43" s="16">
        <f t="shared" si="407"/>
        <v>0.59514871199236741</v>
      </c>
      <c r="AG43" s="16">
        <f t="shared" si="407"/>
        <v>0.59579270318331934</v>
      </c>
      <c r="AH43" s="16">
        <f t="shared" si="407"/>
        <v>0.59793723864075621</v>
      </c>
      <c r="AI43" s="16">
        <f t="shared" si="407"/>
        <v>0.62445402926403148</v>
      </c>
      <c r="AJ43" s="16">
        <f t="shared" ref="AJ43" si="408">AJ22/AJ19</f>
        <v>0.61648969915523055</v>
      </c>
      <c r="AK43" s="16"/>
      <c r="AL43" s="16"/>
      <c r="AM43" s="16"/>
      <c r="AP43" s="18">
        <f t="shared" ref="AP43:AR43" si="409">AP22/AP19</f>
        <v>0.5993130047004942</v>
      </c>
      <c r="AQ43" s="18">
        <f t="shared" si="409"/>
        <v>0.60442282987704166</v>
      </c>
      <c r="AR43" s="18">
        <f t="shared" si="409"/>
        <v>0.62606232294617559</v>
      </c>
      <c r="AS43" s="18">
        <f t="shared" ref="AS43" si="410">AS22/AS19</f>
        <v>0.64472562327342176</v>
      </c>
      <c r="AT43" s="18">
        <f t="shared" ref="AT43" si="411">AT22/AT19</f>
        <v>0.65207756232686975</v>
      </c>
      <c r="AU43" s="18">
        <f t="shared" ref="AU43:AW43" si="412">AU22/AU19</f>
        <v>0.6269249983709464</v>
      </c>
      <c r="AV43" s="18">
        <f t="shared" si="412"/>
        <v>0.60386534339595455</v>
      </c>
      <c r="AW43" s="18">
        <f t="shared" si="412"/>
        <v>0.6107483219951213</v>
      </c>
      <c r="AX43" s="18">
        <f t="shared" ref="AX43" si="413">AX22/AX19</f>
        <v>0.62442491565429592</v>
      </c>
      <c r="AY43" s="18">
        <f t="shared" ref="AY43:AZ43" si="414">AY22/AY19</f>
        <v>0.61075416518964909</v>
      </c>
      <c r="AZ43" s="18">
        <f t="shared" si="414"/>
        <v>0.58880519597672631</v>
      </c>
      <c r="BA43" s="18">
        <f t="shared" ref="BA43:BC43" si="415">BA22/BA19</f>
        <v>0.5647607422945643</v>
      </c>
      <c r="BB43" s="18">
        <f t="shared" si="415"/>
        <v>0.5558054331910266</v>
      </c>
      <c r="BC43" s="18">
        <f t="shared" si="415"/>
        <v>0.53578374706207854</v>
      </c>
      <c r="BD43" s="18">
        <f>BD22/BD19</f>
        <v>0.5693980290098084</v>
      </c>
      <c r="BE43" s="18">
        <f>BE22/BE19</f>
        <v>0.55379442503783116</v>
      </c>
      <c r="BF43" s="18">
        <f t="shared" ref="BF43" si="416">BF22/BF19</f>
        <v>0.56625047984020505</v>
      </c>
      <c r="BG43" s="16">
        <f t="shared" ref="BG43:BM43" si="417">BG22/BG19</f>
        <v>0.58200435406179107</v>
      </c>
      <c r="BH43" s="16">
        <f t="shared" si="417"/>
        <v>0.56000000000000005</v>
      </c>
      <c r="BI43" s="16">
        <f t="shared" si="417"/>
        <v>0.6201383230456905</v>
      </c>
      <c r="BJ43" s="16">
        <f t="shared" si="417"/>
        <v>0.56000000000000005</v>
      </c>
      <c r="BK43" s="16">
        <f t="shared" si="417"/>
        <v>0.56000000000000005</v>
      </c>
      <c r="BL43" s="16">
        <f t="shared" si="417"/>
        <v>0.56000000000000005</v>
      </c>
      <c r="BM43" s="16">
        <f t="shared" si="417"/>
        <v>0.56000000000000005</v>
      </c>
      <c r="BN43" s="16">
        <f t="shared" ref="BN43:BR43" si="418">BN22/BN19</f>
        <v>0.56000000000000005</v>
      </c>
      <c r="BO43" s="16">
        <f t="shared" si="418"/>
        <v>0.56000000000000005</v>
      </c>
      <c r="BP43" s="16">
        <f t="shared" si="418"/>
        <v>0.56000000000000005</v>
      </c>
      <c r="BQ43" s="16">
        <f t="shared" si="418"/>
        <v>0.56000000000000005</v>
      </c>
      <c r="BR43" s="16">
        <f t="shared" si="418"/>
        <v>0.56000000000000005</v>
      </c>
      <c r="BT43" s="5" t="s">
        <v>76</v>
      </c>
      <c r="BU43" s="1">
        <f>+BU42/Main!L3</f>
        <v>401.60893765945406</v>
      </c>
    </row>
    <row r="44" spans="2:73" s="5" customFormat="1" x14ac:dyDescent="0.2">
      <c r="B44" s="5" t="s">
        <v>274</v>
      </c>
      <c r="C44" s="15">
        <f t="shared" ref="C44:N44" si="419">+C20/C19</f>
        <v>0.23049508765170487</v>
      </c>
      <c r="D44" s="15">
        <f t="shared" si="419"/>
        <v>0.22852680895366997</v>
      </c>
      <c r="E44" s="15">
        <f t="shared" ref="E44:F44" si="420">+E20/E19</f>
        <v>0.22818612922347362</v>
      </c>
      <c r="F44" s="15">
        <f t="shared" si="420"/>
        <v>0.26688053773296672</v>
      </c>
      <c r="G44" s="15">
        <f t="shared" si="419"/>
        <v>0.25185062880101267</v>
      </c>
      <c r="H44" s="15">
        <f t="shared" si="419"/>
        <v>0.2582682826622843</v>
      </c>
      <c r="I44" s="15">
        <f t="shared" si="419"/>
        <v>0.24884565050988913</v>
      </c>
      <c r="J44" s="15">
        <f t="shared" si="419"/>
        <v>0.27170916983179599</v>
      </c>
      <c r="K44" s="15">
        <f t="shared" si="419"/>
        <v>0.2801331422046211</v>
      </c>
      <c r="L44" s="15">
        <f t="shared" si="419"/>
        <v>0.30965872000417788</v>
      </c>
      <c r="M44" s="15">
        <f t="shared" si="419"/>
        <v>0.28048859723214864</v>
      </c>
      <c r="N44" s="15">
        <f t="shared" si="419"/>
        <v>0.2744208935287708</v>
      </c>
      <c r="O44" s="15">
        <f t="shared" ref="O44:R44" si="421">+O20/O19</f>
        <v>0.26016921575008134</v>
      </c>
      <c r="P44" s="15">
        <f t="shared" si="421"/>
        <v>0.24722042663219135</v>
      </c>
      <c r="Q44" s="15">
        <f t="shared" si="421"/>
        <v>0.24759667065941829</v>
      </c>
      <c r="R44" s="15">
        <f t="shared" si="421"/>
        <v>0.25968801858612678</v>
      </c>
      <c r="S44" s="15">
        <f t="shared" ref="S44" si="422">+S20/S19</f>
        <v>0.25891399920601077</v>
      </c>
      <c r="T44" s="15">
        <f t="shared" ref="T44:U44" si="423">+T20/T19</f>
        <v>0.25672669871564902</v>
      </c>
      <c r="U44" s="15">
        <f t="shared" si="423"/>
        <v>0.27980084524981186</v>
      </c>
      <c r="V44" s="15">
        <f t="shared" ref="V44" si="424">+V20/V19</f>
        <v>0.29477435304018512</v>
      </c>
      <c r="W44" s="15">
        <f t="shared" ref="W44:X44" si="425">+W20/W19</f>
        <v>0.27069511513605687</v>
      </c>
      <c r="X44" s="15">
        <f t="shared" si="425"/>
        <v>0.25975818990938826</v>
      </c>
      <c r="Y44" s="15">
        <f t="shared" ref="Y44:AB44" si="426">+Y20/Y19</f>
        <v>0.26843388575228511</v>
      </c>
      <c r="Z44" s="15">
        <f t="shared" si="426"/>
        <v>0.27330552659019813</v>
      </c>
      <c r="AA44" s="15">
        <f t="shared" si="426"/>
        <v>0.2578378177032245</v>
      </c>
      <c r="AB44" s="15">
        <f t="shared" si="426"/>
        <v>0.26102758962497935</v>
      </c>
      <c r="AC44" s="15">
        <f t="shared" ref="AC44" si="427">+AC20/AC19</f>
        <v>0.25779444419268593</v>
      </c>
      <c r="AD44" s="15">
        <f t="shared" ref="AD44:AE44" si="428">+AD20/AD19</f>
        <v>0.26708061657112647</v>
      </c>
      <c r="AE44" s="15">
        <f t="shared" si="428"/>
        <v>0.25060398519405103</v>
      </c>
      <c r="AF44" s="15">
        <f t="shared" ref="AF44" si="429">+AF20/AF19</f>
        <v>0.25235408802422532</v>
      </c>
      <c r="AG44" s="15">
        <f t="shared" ref="AG44" si="430">+AG20/AG19</f>
        <v>0.25885720985676042</v>
      </c>
      <c r="AH44" s="15">
        <f t="shared" ref="AH44" si="431">+AH20/AH19</f>
        <v>0.25625505148118216</v>
      </c>
      <c r="AI44" s="15">
        <f>+AI20/AI19</f>
        <v>0.23697859794715004</v>
      </c>
      <c r="AJ44" s="15">
        <f>+AJ20/AJ19</f>
        <v>0.24845570803699624</v>
      </c>
      <c r="AK44" s="15"/>
      <c r="AL44" s="15"/>
      <c r="AM44" s="15"/>
      <c r="AP44" s="15">
        <f t="shared" ref="AP44:AR44" si="432">+AP20/AP19</f>
        <v>0.10335663492828735</v>
      </c>
      <c r="AQ44" s="15">
        <f t="shared" si="432"/>
        <v>0.12309598091392916</v>
      </c>
      <c r="AR44" s="15">
        <f t="shared" si="432"/>
        <v>0.11310304004059026</v>
      </c>
      <c r="AS44" s="15">
        <f t="shared" ref="AS44" si="433">+AS20/AS19</f>
        <v>0.10572627127314893</v>
      </c>
      <c r="AT44" s="15">
        <f t="shared" ref="AT44" si="434">+AT20/AT19</f>
        <v>0.11547289275821132</v>
      </c>
      <c r="AU44" s="15">
        <f t="shared" ref="AU44:AV44" si="435">+AU20/AU19</f>
        <v>0.13510284758574254</v>
      </c>
      <c r="AV44" s="15">
        <f t="shared" si="435"/>
        <v>0.17534537725823593</v>
      </c>
      <c r="AW44" s="15">
        <f t="shared" ref="AW44" si="436">+AW20/AW19</f>
        <v>0.18475477644278118</v>
      </c>
      <c r="AX44" s="15">
        <f t="shared" ref="AX44:AY44" si="437">+AX20/AX19</f>
        <v>0.18430703169798238</v>
      </c>
      <c r="AY44" s="15">
        <f t="shared" si="437"/>
        <v>0.20321915987238567</v>
      </c>
      <c r="AZ44" s="15">
        <f t="shared" ref="AZ44" si="438">+AZ20/AZ19</f>
        <v>0.21569617969419511</v>
      </c>
      <c r="BA44" s="15">
        <f t="shared" ref="BA44" si="439">+BA20/BA19</f>
        <v>0.23990089095812717</v>
      </c>
      <c r="BB44" s="15">
        <f t="shared" ref="BB44:BH44" si="440">+BB20/BB19</f>
        <v>0.2582959031737892</v>
      </c>
      <c r="BC44" s="15">
        <f t="shared" si="440"/>
        <v>0.28463734132484508</v>
      </c>
      <c r="BD44" s="15">
        <f t="shared" si="440"/>
        <v>0.25374072823391053</v>
      </c>
      <c r="BE44" s="15">
        <f t="shared" si="440"/>
        <v>0.27311940488480957</v>
      </c>
      <c r="BF44" s="15">
        <f t="shared" si="440"/>
        <v>0.26820952913849977</v>
      </c>
      <c r="BG44" s="15">
        <f t="shared" si="440"/>
        <v>0.26114656960499172</v>
      </c>
      <c r="BH44" s="15">
        <f t="shared" si="440"/>
        <v>0.25471655959248923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U44" s="1"/>
    </row>
    <row r="45" spans="2:73" s="5" customFormat="1" x14ac:dyDescent="0.2">
      <c r="B45" s="5" t="s">
        <v>275</v>
      </c>
      <c r="C45" s="15">
        <f t="shared" ref="C45:N45" si="441">+C21/C19</f>
        <v>0.20188788287420537</v>
      </c>
      <c r="D45" s="15">
        <f t="shared" si="441"/>
        <v>0.19658878647763114</v>
      </c>
      <c r="E45" s="15">
        <f t="shared" ref="E45:F45" si="442">+E21/E19</f>
        <v>0.19508002371072911</v>
      </c>
      <c r="F45" s="15">
        <f t="shared" si="442"/>
        <v>0.18932681535797943</v>
      </c>
      <c r="G45" s="15">
        <f t="shared" si="441"/>
        <v>0.18877789702523459</v>
      </c>
      <c r="H45" s="15">
        <f t="shared" si="441"/>
        <v>0.18585661462612982</v>
      </c>
      <c r="I45" s="15">
        <f t="shared" si="441"/>
        <v>0.18494283809476778</v>
      </c>
      <c r="J45" s="15">
        <f t="shared" si="441"/>
        <v>0.18450352685838306</v>
      </c>
      <c r="K45" s="15">
        <f t="shared" si="441"/>
        <v>0.18105396146650793</v>
      </c>
      <c r="L45" s="15">
        <f t="shared" si="441"/>
        <v>0.17479175914562498</v>
      </c>
      <c r="M45" s="15">
        <f t="shared" si="441"/>
        <v>0.17685660450912871</v>
      </c>
      <c r="N45" s="15">
        <f t="shared" si="441"/>
        <v>0.18394319659741995</v>
      </c>
      <c r="O45" s="15">
        <f t="shared" ref="O45:R45" si="443">+O21/O19</f>
        <v>0.17557941931518242</v>
      </c>
      <c r="P45" s="15">
        <f t="shared" si="443"/>
        <v>0.17661603102779574</v>
      </c>
      <c r="Q45" s="15">
        <f t="shared" si="443"/>
        <v>0.17657176203200345</v>
      </c>
      <c r="R45" s="15">
        <f t="shared" si="443"/>
        <v>0.17825423166279455</v>
      </c>
      <c r="S45" s="15">
        <f t="shared" ref="S45" si="444">+S21/S19</f>
        <v>0.1762950111011454</v>
      </c>
      <c r="T45" s="15">
        <f t="shared" ref="T45:U45" si="445">+T21/T19</f>
        <v>0.17527444930759847</v>
      </c>
      <c r="U45" s="15">
        <f t="shared" si="445"/>
        <v>0.17116308689862791</v>
      </c>
      <c r="V45" s="15">
        <f>+V21/V19</f>
        <v>0.16995844729644435</v>
      </c>
      <c r="W45" s="15">
        <f t="shared" ref="W45:X45" si="446">+W21/W19</f>
        <v>0.16795391691862382</v>
      </c>
      <c r="X45" s="15">
        <f t="shared" si="446"/>
        <v>0.16804728968956087</v>
      </c>
      <c r="Y45" s="15">
        <f t="shared" ref="Y45:AB45" si="447">+Y21/Y19</f>
        <v>0.16483903354934609</v>
      </c>
      <c r="Z45" s="15">
        <f t="shared" si="447"/>
        <v>0.16204379562043797</v>
      </c>
      <c r="AA45" s="15">
        <f t="shared" si="447"/>
        <v>0.16074200076981338</v>
      </c>
      <c r="AB45" s="15">
        <f t="shared" si="447"/>
        <v>0.15797361402846286</v>
      </c>
      <c r="AC45" s="15">
        <f t="shared" ref="AC45" si="448">+AC21/AC19</f>
        <v>0.15542438935967734</v>
      </c>
      <c r="AD45" s="15">
        <f t="shared" ref="AD45:AE45" si="449">+AD21/AD19</f>
        <v>0.15391472908395443</v>
      </c>
      <c r="AE45" s="15">
        <f t="shared" si="449"/>
        <v>0.15235942106079747</v>
      </c>
      <c r="AF45" s="15">
        <f t="shared" ref="AF45" si="450">+AF21/AF19</f>
        <v>0.1524971999834073</v>
      </c>
      <c r="AG45" s="15">
        <f t="shared" ref="AG45" si="451">+AG21/AG19</f>
        <v>0.14535008695992027</v>
      </c>
      <c r="AH45" s="15">
        <f t="shared" ref="AH45" si="452">+AH21/AH19</f>
        <v>0.14580770987806163</v>
      </c>
      <c r="AI45" s="15">
        <f>+AI21/AI19</f>
        <v>0.13856737278881853</v>
      </c>
      <c r="AJ45" s="15">
        <f>+AJ21/AJ19</f>
        <v>0.13505459280777321</v>
      </c>
      <c r="AK45" s="15"/>
      <c r="AL45" s="15"/>
      <c r="AM45" s="15"/>
      <c r="AP45" s="15">
        <f t="shared" ref="AP45:AR45" si="453">+AP21/AP19</f>
        <v>0.29733036037121852</v>
      </c>
      <c r="AQ45" s="15">
        <f t="shared" si="453"/>
        <v>0.2724811892090292</v>
      </c>
      <c r="AR45" s="15">
        <f t="shared" si="453"/>
        <v>0.26083463701323412</v>
      </c>
      <c r="AS45" s="15">
        <f t="shared" ref="AS45" si="454">+AS21/AS19</f>
        <v>0.24954810545342929</v>
      </c>
      <c r="AT45" s="15">
        <f t="shared" ref="AT45" si="455">+AT21/AT19</f>
        <v>0.23244954491491887</v>
      </c>
      <c r="AU45" s="15">
        <f t="shared" ref="AU45:AV45" si="456">+AU21/AU19</f>
        <v>0.2379721540433111</v>
      </c>
      <c r="AV45" s="15">
        <f t="shared" si="456"/>
        <v>0.22078927934580955</v>
      </c>
      <c r="AW45" s="15">
        <f t="shared" ref="AW45" si="457">+AW21/AW19</f>
        <v>0.20449690156209754</v>
      </c>
      <c r="AX45" s="15">
        <f t="shared" ref="AX45:AY45" si="458">+AX21/AX19</f>
        <v>0.19126805264772168</v>
      </c>
      <c r="AY45" s="15">
        <f t="shared" si="458"/>
        <v>0.18602667493796526</v>
      </c>
      <c r="AZ45" s="15">
        <f t="shared" ref="AZ45" si="459">+AZ21/AZ19</f>
        <v>0.19549862432907852</v>
      </c>
      <c r="BA45" s="15">
        <f t="shared" ref="BA45" si="460">+BA21/BA19</f>
        <v>0.19533836674730848</v>
      </c>
      <c r="BB45" s="15">
        <f t="shared" ref="BB45:BH45" si="461">+BB21/BB19</f>
        <v>0.18589866363518415</v>
      </c>
      <c r="BC45" s="15">
        <f t="shared" si="461"/>
        <v>0.17957891161307643</v>
      </c>
      <c r="BD45" s="15">
        <f t="shared" si="461"/>
        <v>0.17686124275628112</v>
      </c>
      <c r="BE45" s="15">
        <f t="shared" si="461"/>
        <v>0.17308617007735932</v>
      </c>
      <c r="BF45" s="15">
        <f t="shared" si="461"/>
        <v>0.16553999102129516</v>
      </c>
      <c r="BG45" s="15">
        <f t="shared" si="461"/>
        <v>0.15684907633321715</v>
      </c>
      <c r="BH45" s="15">
        <f t="shared" si="461"/>
        <v>0.14876028954711099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U45" s="1"/>
    </row>
    <row r="46" spans="2:73" s="5" customFormat="1" x14ac:dyDescent="0.2">
      <c r="B46" s="5" t="s">
        <v>70</v>
      </c>
      <c r="C46" s="15">
        <f t="shared" ref="C46:J46" si="462">+C30/C29</f>
        <v>0.15202342917997871</v>
      </c>
      <c r="D46" s="15">
        <f t="shared" si="462"/>
        <v>0.12402723735408561</v>
      </c>
      <c r="E46" s="15">
        <f t="shared" ref="E46:F46" si="463">+E30/E29</f>
        <v>0.10240202275600506</v>
      </c>
      <c r="F46" s="15">
        <f t="shared" si="463"/>
        <v>0.127437641723356</v>
      </c>
      <c r="G46" s="15">
        <f t="shared" si="462"/>
        <v>0.16997716894977169</v>
      </c>
      <c r="H46" s="15">
        <f t="shared" si="462"/>
        <v>0.23285351397121085</v>
      </c>
      <c r="I46" s="15">
        <f t="shared" si="462"/>
        <v>0.15360378101614808</v>
      </c>
      <c r="J46" s="15">
        <f t="shared" si="462"/>
        <v>3.2010864293335918E-3</v>
      </c>
      <c r="K46" s="15">
        <f t="shared" ref="K46" si="464">+K30/K29</f>
        <v>0.13265159153103845</v>
      </c>
      <c r="L46" s="15">
        <f>+L30/L29</f>
        <v>0.15923643832306392</v>
      </c>
      <c r="M46" s="15">
        <f t="shared" ref="M46:U46" si="465">+M30/M29</f>
        <v>0.18429319371727748</v>
      </c>
      <c r="N46" s="15">
        <f t="shared" si="465"/>
        <v>0.18524265610787094</v>
      </c>
      <c r="O46" s="15">
        <f t="shared" si="465"/>
        <v>0.15754357938260583</v>
      </c>
      <c r="P46" s="15">
        <f t="shared" si="465"/>
        <v>0.16</v>
      </c>
      <c r="Q46" s="15">
        <f t="shared" si="465"/>
        <v>0.17898022892819979</v>
      </c>
      <c r="R46" s="15">
        <f t="shared" si="465"/>
        <v>0.15408573067781328</v>
      </c>
      <c r="S46" s="15">
        <f t="shared" si="465"/>
        <v>0.13193197422625963</v>
      </c>
      <c r="T46" s="15">
        <f t="shared" si="465"/>
        <v>0.15840959293152415</v>
      </c>
      <c r="U46" s="15">
        <f t="shared" si="465"/>
        <v>0.14310355448777182</v>
      </c>
      <c r="V46" s="15">
        <f>+V30/V29</f>
        <v>0.20545868081880211</v>
      </c>
      <c r="W46" s="15">
        <f t="shared" ref="W46:Z46" si="466">+W30/W29</f>
        <v>0.17324910738808019</v>
      </c>
      <c r="X46" s="15">
        <f t="shared" si="466"/>
        <v>0.1598968699113443</v>
      </c>
      <c r="Y46" s="15">
        <f t="shared" si="466"/>
        <v>7.1142142756050381E-2</v>
      </c>
      <c r="Z46" s="15">
        <f t="shared" si="466"/>
        <v>0.15559082745081659</v>
      </c>
      <c r="AA46" s="15">
        <f t="shared" ref="AA46:AB46" si="467">+AA30/AA29</f>
        <v>0.17846732126419146</v>
      </c>
      <c r="AB46" s="15">
        <f t="shared" si="467"/>
        <v>0.13911197594197772</v>
      </c>
      <c r="AC46" s="15">
        <f t="shared" ref="AC46:AD46" si="468">+AC30/AC29</f>
        <v>0.18085996319223691</v>
      </c>
      <c r="AD46" s="15">
        <f t="shared" si="468"/>
        <v>0.17902067191568116</v>
      </c>
      <c r="AE46" s="15">
        <f t="shared" ref="AE46:AI46" si="469">+AE30/AE29</f>
        <v>0.21907681892843059</v>
      </c>
      <c r="AF46" s="15">
        <f t="shared" si="469"/>
        <v>0.1757282445553956</v>
      </c>
      <c r="AG46" s="15">
        <f t="shared" si="469"/>
        <v>0.27089285177277239</v>
      </c>
      <c r="AH46" s="15">
        <f t="shared" si="469"/>
        <v>0.12663316582914572</v>
      </c>
      <c r="AI46" s="15">
        <f t="shared" si="469"/>
        <v>0.36629873817813663</v>
      </c>
      <c r="AJ46" s="15">
        <f t="shared" ref="AJ46" si="470">+AJ30/AJ29</f>
        <v>0.25</v>
      </c>
      <c r="AK46" s="15"/>
      <c r="AL46" s="15"/>
      <c r="AM46" s="15"/>
      <c r="AP46" s="15">
        <f t="shared" ref="AP46:AR46" si="471">+AP30/AP29</f>
        <v>0.28916516651886448</v>
      </c>
      <c r="AQ46" s="15">
        <f t="shared" si="471"/>
        <v>0.23402417962003455</v>
      </c>
      <c r="AR46" s="15">
        <f t="shared" si="471"/>
        <v>0.22204987471662094</v>
      </c>
      <c r="AS46" s="15">
        <f t="shared" ref="AS46" si="472">+AS30/AS29</f>
        <v>0.21220822526861802</v>
      </c>
      <c r="AT46" s="15">
        <f t="shared" ref="AT46" si="473">+AT30/AT29</f>
        <v>0.20185560580071729</v>
      </c>
      <c r="AU46" s="15">
        <f t="shared" ref="AU46:AW46" si="474">+AU30/AU29</f>
        <v>0.20153431474186193</v>
      </c>
      <c r="AV46" s="15">
        <f t="shared" si="474"/>
        <v>0.17227498584816656</v>
      </c>
      <c r="AW46" s="15">
        <f t="shared" si="474"/>
        <v>0.21084651486181122</v>
      </c>
      <c r="AX46" s="15">
        <f t="shared" ref="AX46" si="475">+AX30/AX29</f>
        <v>0.16808304920869166</v>
      </c>
      <c r="AY46" s="15">
        <f t="shared" ref="AY46:AZ46" si="476">+AY30/AY29</f>
        <v>0.19345755693581781</v>
      </c>
      <c r="AZ46" s="15">
        <f t="shared" si="476"/>
        <v>0.48551572053860803</v>
      </c>
      <c r="BA46" s="15">
        <f t="shared" ref="BA46:BC46" si="477">+BA30/BA29</f>
        <v>0.13031134959755414</v>
      </c>
      <c r="BB46" s="15">
        <f t="shared" si="477"/>
        <v>0.13658107723734905</v>
      </c>
      <c r="BC46" s="15">
        <f t="shared" si="477"/>
        <v>0.17221009940708412</v>
      </c>
      <c r="BD46" s="15">
        <f t="shared" ref="BD46:BF46" si="478">+BD30/BD29</f>
        <v>0.16266846659437448</v>
      </c>
      <c r="BE46" s="15">
        <f>+BE30/BE29</f>
        <v>0.1592081650964558</v>
      </c>
      <c r="BF46" s="15">
        <f t="shared" si="478"/>
        <v>0.18</v>
      </c>
      <c r="BG46" s="15">
        <f t="shared" ref="BG46:BM46" si="479">+BG30/BG29</f>
        <v>0.16965400814807796</v>
      </c>
      <c r="BH46" s="15">
        <f t="shared" si="479"/>
        <v>0.22013194868884148</v>
      </c>
      <c r="BI46" s="15">
        <f t="shared" si="479"/>
        <v>0.27712306562864192</v>
      </c>
      <c r="BJ46" s="15">
        <f t="shared" si="479"/>
        <v>0.18</v>
      </c>
      <c r="BK46" s="15">
        <f t="shared" si="479"/>
        <v>0.18000000000000002</v>
      </c>
      <c r="BL46" s="15">
        <f t="shared" si="479"/>
        <v>0.18</v>
      </c>
      <c r="BM46" s="15">
        <f t="shared" si="479"/>
        <v>0.18</v>
      </c>
      <c r="BN46" s="15">
        <f t="shared" ref="BN46:BR46" si="480">+BN30/BN29</f>
        <v>0.18</v>
      </c>
      <c r="BO46" s="15">
        <f t="shared" si="480"/>
        <v>0.18</v>
      </c>
      <c r="BP46" s="15">
        <f t="shared" si="480"/>
        <v>0.18</v>
      </c>
      <c r="BQ46" s="15">
        <f t="shared" si="480"/>
        <v>0.18</v>
      </c>
      <c r="BR46" s="15">
        <f t="shared" si="480"/>
        <v>0.18</v>
      </c>
      <c r="BT46" s="5" t="s">
        <v>229</v>
      </c>
      <c r="BU46" s="1">
        <v>345</v>
      </c>
    </row>
    <row r="47" spans="2:73" s="5" customFormat="1" x14ac:dyDescent="0.2">
      <c r="B47" s="5" t="s">
        <v>47</v>
      </c>
      <c r="C47" s="15">
        <f t="shared" ref="C47:J47" si="481">C17/C19</f>
        <v>0.70628652154369742</v>
      </c>
      <c r="D47" s="15">
        <f t="shared" si="481"/>
        <v>0.71231282726521117</v>
      </c>
      <c r="E47" s="15">
        <f t="shared" ref="E47:F47" si="482">E17/E19</f>
        <v>0.71292234736218141</v>
      </c>
      <c r="F47" s="15">
        <f t="shared" si="482"/>
        <v>0.59374681739484669</v>
      </c>
      <c r="G47" s="15">
        <f t="shared" si="481"/>
        <v>0.62046286359008229</v>
      </c>
      <c r="H47" s="15">
        <f t="shared" si="481"/>
        <v>0.60707682826622844</v>
      </c>
      <c r="I47" s="15">
        <f t="shared" si="481"/>
        <v>0.61090397293760335</v>
      </c>
      <c r="J47" s="15">
        <f t="shared" si="481"/>
        <v>0.59001627780792187</v>
      </c>
      <c r="K47" s="15">
        <f t="shared" ref="K47:L47" si="483">K17/K19</f>
        <v>0.5953011492018756</v>
      </c>
      <c r="L47" s="15">
        <f t="shared" si="483"/>
        <v>0.55667545760764547</v>
      </c>
      <c r="M47" s="15">
        <f t="shared" ref="M47" si="484">M17/M19</f>
        <v>0.57041994239057459</v>
      </c>
      <c r="N47" s="15">
        <f>N17/N19</f>
        <v>0.56070512144539353</v>
      </c>
      <c r="O47" s="15">
        <f t="shared" ref="O47:S47" si="485">O17/O19</f>
        <v>0.57632787359438842</v>
      </c>
      <c r="P47" s="15">
        <f t="shared" si="485"/>
        <v>0.57926632191338079</v>
      </c>
      <c r="Q47" s="15">
        <f t="shared" si="485"/>
        <v>0.58241960748180222</v>
      </c>
      <c r="R47" s="15">
        <f t="shared" si="485"/>
        <v>0.5748556256223033</v>
      </c>
      <c r="S47" s="15">
        <f t="shared" si="485"/>
        <v>0.58252341532987306</v>
      </c>
      <c r="T47" s="15">
        <f t="shared" ref="T47:U47" si="486">T17/T19</f>
        <v>0.58389897395422252</v>
      </c>
      <c r="U47" s="15">
        <f t="shared" si="486"/>
        <v>0.57226596422161757</v>
      </c>
      <c r="V47" s="15">
        <f>V17/V19</f>
        <v>0.56022512097622557</v>
      </c>
      <c r="W47" s="15">
        <f t="shared" ref="W47:Z47" si="487">W17/W19</f>
        <v>0.57831687850172664</v>
      </c>
      <c r="X47" s="15">
        <f t="shared" si="487"/>
        <v>0.57139027397994746</v>
      </c>
      <c r="Y47" s="15">
        <f t="shared" si="487"/>
        <v>0.574054998500515</v>
      </c>
      <c r="Z47" s="15">
        <f t="shared" si="487"/>
        <v>0.55636658556366581</v>
      </c>
      <c r="AA47" s="15">
        <f t="shared" ref="AA47:AB47" si="488">AA17/AA19</f>
        <v>0.57308881411490087</v>
      </c>
      <c r="AB47" s="15">
        <f t="shared" si="488"/>
        <v>0.57243161596374881</v>
      </c>
      <c r="AC47" s="15">
        <f t="shared" ref="AC47:AD47" si="489">AC17/AC19</f>
        <v>0.55948928263923503</v>
      </c>
      <c r="AD47" s="15">
        <f t="shared" si="489"/>
        <v>0.5601177580362604</v>
      </c>
      <c r="AE47" s="15">
        <f t="shared" ref="AE47:AI47" si="490">AE17/AE19</f>
        <v>0.56189462951880664</v>
      </c>
      <c r="AF47" s="15">
        <f>AF17/AF19</f>
        <v>0.56197370058489238</v>
      </c>
      <c r="AG47" s="15">
        <f t="shared" si="490"/>
        <v>0.55270357415043092</v>
      </c>
      <c r="AH47" s="15">
        <f t="shared" si="490"/>
        <v>0.55410795234915833</v>
      </c>
      <c r="AI47" s="15">
        <f t="shared" si="490"/>
        <v>0.54960144136274292</v>
      </c>
      <c r="AJ47" s="15">
        <f t="shared" ref="AJ47" si="491">AJ17/AJ19</f>
        <v>0.52815619887141474</v>
      </c>
      <c r="AK47" s="15"/>
      <c r="AL47" s="15"/>
      <c r="AM47" s="15"/>
      <c r="AP47" s="15">
        <f t="shared" ref="AP47:AR47" si="492">AP17/AP19</f>
        <v>0.64027359286489094</v>
      </c>
      <c r="AQ47" s="15">
        <f t="shared" si="492"/>
        <v>0.66131400256927875</v>
      </c>
      <c r="AR47" s="15">
        <f t="shared" si="492"/>
        <v>0.66479218637689741</v>
      </c>
      <c r="AS47" s="15">
        <f t="shared" ref="AS47" si="493">AS17/AS19</f>
        <v>0.66314245762422841</v>
      </c>
      <c r="AT47" s="15">
        <f t="shared" ref="AT47" si="494">AT17/AT19</f>
        <v>0.68975069252077559</v>
      </c>
      <c r="AU47" s="15">
        <f t="shared" ref="AU47:AV47" si="495">AU17/AU19</f>
        <v>0.6781424444492713</v>
      </c>
      <c r="AV47" s="15">
        <f t="shared" si="495"/>
        <v>0.67403951800284589</v>
      </c>
      <c r="AW47" s="15">
        <f t="shared" ref="AW47:AY47" si="496">AW17/AW19</f>
        <v>0.68309571067105046</v>
      </c>
      <c r="AX47" s="15">
        <f t="shared" si="496"/>
        <v>0.69819573537452162</v>
      </c>
      <c r="AY47" s="15">
        <f t="shared" si="496"/>
        <v>0.70658676001417942</v>
      </c>
      <c r="AZ47" s="15">
        <f t="shared" ref="AZ47:BF47" si="497">AZ17/AZ19</f>
        <v>0.6297505750755491</v>
      </c>
      <c r="BA47" s="15">
        <f t="shared" si="497"/>
        <v>0.6234221855151697</v>
      </c>
      <c r="BB47" s="15">
        <f t="shared" si="497"/>
        <v>0.60618323581927258</v>
      </c>
      <c r="BC47" s="15">
        <f t="shared" si="497"/>
        <v>0.57011839344316184</v>
      </c>
      <c r="BD47" s="15">
        <f t="shared" si="497"/>
        <v>0.57814289096674776</v>
      </c>
      <c r="BE47" s="15">
        <f t="shared" si="497"/>
        <v>0.57436111386103605</v>
      </c>
      <c r="BF47" s="15">
        <f t="shared" si="497"/>
        <v>0.56940929230889348</v>
      </c>
      <c r="BG47" s="15">
        <f t="shared" ref="BG47:BM47" si="498">BG17/BG19</f>
        <v>0.56592518099069189</v>
      </c>
      <c r="BH47" s="15">
        <f t="shared" si="498"/>
        <v>0.55737818864252453</v>
      </c>
      <c r="BI47" s="15">
        <f t="shared" si="498"/>
        <v>0.52403894467699985</v>
      </c>
      <c r="BJ47" s="15">
        <f t="shared" si="498"/>
        <v>0.51232318842562941</v>
      </c>
      <c r="BK47" s="15">
        <f t="shared" si="498"/>
        <v>0.51286258590743905</v>
      </c>
      <c r="BL47" s="15">
        <f t="shared" si="498"/>
        <v>0.51317053132383239</v>
      </c>
      <c r="BM47" s="15">
        <f t="shared" si="498"/>
        <v>0.50853350699721478</v>
      </c>
      <c r="BN47" s="15">
        <f t="shared" ref="BN47:BR47" si="499">BN17/BN19</f>
        <v>0.5036664435598226</v>
      </c>
      <c r="BO47" s="15">
        <f t="shared" si="499"/>
        <v>0.49857216851779829</v>
      </c>
      <c r="BP47" s="15">
        <f t="shared" si="499"/>
        <v>0.49325413512886507</v>
      </c>
      <c r="BQ47" s="15">
        <f t="shared" si="499"/>
        <v>0.48771643190512454</v>
      </c>
      <c r="BR47" s="15">
        <f t="shared" si="499"/>
        <v>0.48196378822082986</v>
      </c>
      <c r="BT47" s="18" t="s">
        <v>230</v>
      </c>
      <c r="BU47" s="18">
        <f>+BU43/BU46-1</f>
        <v>0.16408387727377982</v>
      </c>
    </row>
    <row r="48" spans="2:73" s="5" customFormat="1" x14ac:dyDescent="0.2">
      <c r="B48" s="5" t="s">
        <v>104</v>
      </c>
      <c r="C48" s="15">
        <f t="shared" ref="C48:J48" si="500">(C17+C16+C15)/C19</f>
        <v>0.85539074038399798</v>
      </c>
      <c r="D48" s="15">
        <f t="shared" si="500"/>
        <v>0.86006063018648371</v>
      </c>
      <c r="E48" s="15">
        <f t="shared" ref="E48:F48" si="501">(E17+E16+E15)/E19</f>
        <v>0.85815056312981619</v>
      </c>
      <c r="F48" s="15">
        <f t="shared" si="501"/>
        <v>0.82793563499338019</v>
      </c>
      <c r="G48" s="15">
        <f t="shared" si="500"/>
        <v>0.84171276039516774</v>
      </c>
      <c r="H48" s="15">
        <f t="shared" si="500"/>
        <v>0.83437756778964667</v>
      </c>
      <c r="I48" s="15">
        <f t="shared" si="500"/>
        <v>0.83448974048741942</v>
      </c>
      <c r="J48" s="15">
        <f t="shared" si="500"/>
        <v>0.82330982094411287</v>
      </c>
      <c r="K48" s="15">
        <f t="shared" ref="K48:N48" si="502">(K17+K16+K15)/K19</f>
        <v>0.82030661580699238</v>
      </c>
      <c r="L48" s="15">
        <f t="shared" si="502"/>
        <v>0.7798783194506097</v>
      </c>
      <c r="M48" s="15">
        <f t="shared" si="502"/>
        <v>0.80339159248911707</v>
      </c>
      <c r="N48" s="15">
        <f t="shared" si="502"/>
        <v>0.81196175612499566</v>
      </c>
      <c r="O48" s="15">
        <f t="shared" ref="O48:U48" si="503">(O17+O16+O15)/O19</f>
        <v>0.80782442058068482</v>
      </c>
      <c r="P48" s="15">
        <f t="shared" si="503"/>
        <v>0.81519069166127989</v>
      </c>
      <c r="Q48" s="15">
        <f t="shared" si="503"/>
        <v>0.81590343683774069</v>
      </c>
      <c r="R48" s="15">
        <f t="shared" si="503"/>
        <v>0.81299701294390969</v>
      </c>
      <c r="S48" s="15">
        <f t="shared" si="503"/>
        <v>0.80370822366970052</v>
      </c>
      <c r="T48" s="15">
        <f t="shared" si="503"/>
        <v>0.80774915692042759</v>
      </c>
      <c r="U48" s="15">
        <f t="shared" si="503"/>
        <v>0.78854281248190816</v>
      </c>
      <c r="V48" s="15">
        <f>(V17+V16+V15)/V19</f>
        <v>0.77637807700399752</v>
      </c>
      <c r="W48" s="15">
        <f t="shared" ref="W48:Z48" si="504">(W17+W16+W15)/W19</f>
        <v>0.78163554816799685</v>
      </c>
      <c r="X48" s="15">
        <f t="shared" si="504"/>
        <v>0.779354994370275</v>
      </c>
      <c r="Y48" s="15">
        <f t="shared" si="504"/>
        <v>0.77773721200109525</v>
      </c>
      <c r="Z48" s="15">
        <f t="shared" si="504"/>
        <v>0.75908932916232186</v>
      </c>
      <c r="AA48" s="15">
        <f t="shared" ref="AA48:AB48" si="505">(AA17+AA16+AA15)/AA19</f>
        <v>0.76557940873365704</v>
      </c>
      <c r="AB48" s="15">
        <f t="shared" si="505"/>
        <v>0.76250265511788728</v>
      </c>
      <c r="AC48" s="15">
        <f t="shared" ref="AC48:AD48" si="506">(AC17+AC16+AC15)/AC19</f>
        <v>0.74606879050165409</v>
      </c>
      <c r="AD48" s="15">
        <f t="shared" si="506"/>
        <v>0.75113248815681721</v>
      </c>
      <c r="AE48" s="15">
        <f t="shared" ref="AE48:AI48" si="507">(AE17+AE16+AE15)/AE19</f>
        <v>0.74123944411197551</v>
      </c>
      <c r="AF48" s="15">
        <f>(AF17+AF16+AF15)/AF19</f>
        <v>0.73982660637988962</v>
      </c>
      <c r="AG48" s="15">
        <f t="shared" si="507"/>
        <v>0.72481582084302265</v>
      </c>
      <c r="AH48" s="15">
        <f t="shared" si="507"/>
        <v>0.72288013494043646</v>
      </c>
      <c r="AI48" s="15">
        <f t="shared" si="507"/>
        <v>0.70296462109630919</v>
      </c>
      <c r="AJ48" s="15">
        <f t="shared" ref="AJ48" si="508">(AJ17+AJ16+AJ15)/AJ19</f>
        <v>0.68140004674613508</v>
      </c>
      <c r="AK48" s="15"/>
      <c r="AL48" s="15"/>
      <c r="AM48" s="15"/>
      <c r="AP48" s="15">
        <f t="shared" ref="AP48:AR48" si="509">(AP17+AP16+AP15)/AP19</f>
        <v>0.98906833795347704</v>
      </c>
      <c r="AQ48" s="15">
        <f t="shared" si="509"/>
        <v>0.9693980546889337</v>
      </c>
      <c r="AR48" s="15">
        <f t="shared" si="509"/>
        <v>0.96778148915479256</v>
      </c>
      <c r="AS48" s="15">
        <f t="shared" ref="AS48" si="510">(AS17+AS16+AS15)/AS19</f>
        <v>0.96299580505439786</v>
      </c>
      <c r="AT48" s="15">
        <f t="shared" ref="AT48" si="511">(AT17+AT16+AT15)/AT19</f>
        <v>0.96375148397309063</v>
      </c>
      <c r="AU48" s="15">
        <f t="shared" ref="AU48:AV48" si="512">(AU17+AU16+AU15)/AU19</f>
        <v>0.94889115749690478</v>
      </c>
      <c r="AV48" s="15">
        <f t="shared" si="512"/>
        <v>0.91990129505214435</v>
      </c>
      <c r="AW48" s="15">
        <f t="shared" ref="AW48:BM48" si="513">(AW17+AW16+AW15)/AW19</f>
        <v>0.90338025181436643</v>
      </c>
      <c r="AX48" s="15">
        <f t="shared" ref="AX48:AY48" si="514">(AX17+AX16+AX15)/AX19</f>
        <v>0.89866513755350785</v>
      </c>
      <c r="AY48" s="15">
        <f t="shared" si="514"/>
        <v>0.87937566465792272</v>
      </c>
      <c r="AZ48" s="15">
        <f t="shared" si="513"/>
        <v>0.86218032565062463</v>
      </c>
      <c r="BA48" s="15">
        <f t="shared" si="513"/>
        <v>0.85120487651568866</v>
      </c>
      <c r="BB48" s="15">
        <f t="shared" si="513"/>
        <v>0.83290188252593333</v>
      </c>
      <c r="BC48" s="15">
        <f t="shared" si="513"/>
        <v>0.80494392610408327</v>
      </c>
      <c r="BD48" s="15">
        <f t="shared" si="513"/>
        <v>0.81314795623299452</v>
      </c>
      <c r="BE48" s="15">
        <f t="shared" si="513"/>
        <v>0.79365073752987592</v>
      </c>
      <c r="BF48" s="15">
        <f t="shared" si="513"/>
        <v>0.7737789286713469</v>
      </c>
      <c r="BG48" s="15">
        <f t="shared" si="513"/>
        <v>0.75593255204018084</v>
      </c>
      <c r="BH48" s="15">
        <f t="shared" si="513"/>
        <v>0.73154087519486843</v>
      </c>
      <c r="BI48" s="15">
        <f t="shared" si="513"/>
        <v>0.67592270357367301</v>
      </c>
      <c r="BJ48" s="15">
        <f t="shared" si="513"/>
        <v>0.65295750239882089</v>
      </c>
      <c r="BK48" s="15">
        <f t="shared" si="513"/>
        <v>0.64994931406445489</v>
      </c>
      <c r="BL48" s="15">
        <f t="shared" si="513"/>
        <v>0.64675062765088043</v>
      </c>
      <c r="BM48" s="15">
        <f t="shared" si="513"/>
        <v>0.63991014246778832</v>
      </c>
      <c r="BN48" s="15">
        <f t="shared" ref="BN48:BR48" si="515">(BN17+BN16+BN15)/BN19</f>
        <v>0.63281760927124231</v>
      </c>
      <c r="BO48" s="15">
        <f t="shared" si="515"/>
        <v>0.62547700235932158</v>
      </c>
      <c r="BP48" s="15">
        <f t="shared" si="515"/>
        <v>0.61789302929617274</v>
      </c>
      <c r="BQ48" s="15">
        <f t="shared" si="515"/>
        <v>0.61007113925161904</v>
      </c>
      <c r="BR48" s="15">
        <f t="shared" si="515"/>
        <v>0.60201752662507535</v>
      </c>
    </row>
    <row r="50" spans="2:70" x14ac:dyDescent="0.2">
      <c r="B50" s="3" t="s">
        <v>71</v>
      </c>
      <c r="C50" s="11"/>
      <c r="D50" s="11"/>
      <c r="E50" s="11"/>
      <c r="F50" s="11">
        <f t="shared" ref="F50:N50" si="516">+F51-F69</f>
        <v>118987</v>
      </c>
      <c r="G50" s="11">
        <f t="shared" si="516"/>
        <v>123896</v>
      </c>
      <c r="H50" s="11">
        <f t="shared" si="516"/>
        <v>129094</v>
      </c>
      <c r="I50" s="11">
        <f t="shared" si="516"/>
        <v>129583</v>
      </c>
      <c r="J50" s="11">
        <f t="shared" si="516"/>
        <v>128199</v>
      </c>
      <c r="K50" s="11">
        <f t="shared" si="516"/>
        <v>124580</v>
      </c>
      <c r="L50" s="11">
        <f t="shared" si="516"/>
        <v>130023</v>
      </c>
      <c r="M50" s="11">
        <f t="shared" si="516"/>
        <v>133350</v>
      </c>
      <c r="N50" s="11">
        <f t="shared" si="516"/>
        <v>143465</v>
      </c>
      <c r="O50" s="11">
        <f t="shared" ref="O50:Q50" si="517">+O51-O69</f>
        <v>146511</v>
      </c>
      <c r="P50" s="11">
        <f t="shared" si="517"/>
        <v>147067</v>
      </c>
      <c r="Q50" s="11">
        <f t="shared" si="517"/>
        <v>153816</v>
      </c>
      <c r="R50" s="11">
        <f t="shared" ref="R50:S50" si="518">+R51-R69</f>
        <v>154381</v>
      </c>
      <c r="S50" s="11">
        <f t="shared" si="518"/>
        <v>149723</v>
      </c>
      <c r="T50" s="11">
        <f t="shared" ref="T50:AC50" si="519">+T51-T69</f>
        <v>140928</v>
      </c>
      <c r="U50" s="11">
        <f t="shared" si="519"/>
        <v>132025</v>
      </c>
      <c r="V50" s="11">
        <f t="shared" si="519"/>
        <v>129553</v>
      </c>
      <c r="W50" s="11">
        <f t="shared" si="519"/>
        <v>132618</v>
      </c>
      <c r="X50" s="11">
        <f t="shared" si="519"/>
        <v>135851</v>
      </c>
      <c r="Y50" s="11">
        <f t="shared" si="519"/>
        <v>137061</v>
      </c>
      <c r="Z50" s="11">
        <f t="shared" si="519"/>
        <v>128671</v>
      </c>
      <c r="AA50" s="11">
        <f t="shared" si="519"/>
        <v>128856</v>
      </c>
      <c r="AB50" s="11">
        <f t="shared" si="519"/>
        <v>121659</v>
      </c>
      <c r="AC50" s="11">
        <f t="shared" si="519"/>
        <v>117110</v>
      </c>
      <c r="AD50" s="11">
        <f>+AD51-AD69</f>
        <v>122756</v>
      </c>
      <c r="AE50" s="11">
        <f>+AE51-AE69</f>
        <v>135471</v>
      </c>
      <c r="AF50" s="11">
        <f>+AF51-AF69</f>
        <v>124115</v>
      </c>
      <c r="AG50" s="11">
        <f>+AG51-AG69</f>
        <v>140689</v>
      </c>
      <c r="AH50" s="11">
        <f>+AG50+AH31</f>
        <v>172842</v>
      </c>
      <c r="AI50" s="11">
        <f>+AI51-AI69</f>
        <v>156285</v>
      </c>
      <c r="AJ50" s="11">
        <f>+AJ51-AJ69</f>
        <v>275770</v>
      </c>
      <c r="AK50" s="11"/>
      <c r="AL50" s="11"/>
      <c r="AM50" s="11"/>
      <c r="AP50" s="11">
        <f t="shared" ref="AP50" si="520">+AP51-AP69</f>
        <v>0</v>
      </c>
      <c r="AQ50" s="11">
        <f t="shared" ref="AQ50" si="521">+AQ51-AQ69</f>
        <v>15930.931</v>
      </c>
      <c r="AR50" s="11">
        <f t="shared" ref="AR50" si="522">+AR51-AR69</f>
        <v>21148.752</v>
      </c>
      <c r="AS50" s="11">
        <f t="shared" ref="AS50:BD50" si="523">+AS51-AS69</f>
        <v>32033</v>
      </c>
      <c r="AT50" s="11">
        <f t="shared" si="523"/>
        <v>41212</v>
      </c>
      <c r="AU50" s="11">
        <f t="shared" si="523"/>
        <v>44020</v>
      </c>
      <c r="AV50" s="11">
        <f t="shared" si="523"/>
        <v>55448</v>
      </c>
      <c r="AW50" s="11">
        <f t="shared" si="523"/>
        <v>62237</v>
      </c>
      <c r="AX50" s="11">
        <f t="shared" si="523"/>
        <v>73029</v>
      </c>
      <c r="AY50" s="11">
        <f t="shared" si="523"/>
        <v>88276</v>
      </c>
      <c r="AZ50" s="11">
        <f t="shared" si="523"/>
        <v>105715</v>
      </c>
      <c r="BA50" s="11">
        <f t="shared" si="523"/>
        <v>118987</v>
      </c>
      <c r="BB50" s="11">
        <f t="shared" si="523"/>
        <v>128199</v>
      </c>
      <c r="BC50" s="11">
        <f t="shared" si="523"/>
        <v>143465</v>
      </c>
      <c r="BD50" s="11">
        <f t="shared" si="523"/>
        <v>154381</v>
      </c>
      <c r="BE50" s="11">
        <f>+BE51-BE69</f>
        <v>129553</v>
      </c>
      <c r="BF50" s="11">
        <f>+BF51-BF69</f>
        <v>128671</v>
      </c>
      <c r="BG50" s="11">
        <f>+BG51-BG69</f>
        <v>122756</v>
      </c>
      <c r="BH50" s="11">
        <f>+BH51-BH69</f>
        <v>148983</v>
      </c>
      <c r="BI50" s="3">
        <f>+BH50+BI31</f>
        <v>274506.03962500003</v>
      </c>
      <c r="BJ50" s="3">
        <f t="shared" ref="BJ50:BM50" si="524">+BI50+BJ31</f>
        <v>421518.01899337501</v>
      </c>
      <c r="BK50" s="3">
        <f t="shared" si="524"/>
        <v>584021.23168784403</v>
      </c>
      <c r="BL50" s="3">
        <f t="shared" si="524"/>
        <v>765922.20495065954</v>
      </c>
      <c r="BM50" s="3">
        <f t="shared" si="524"/>
        <v>966031.22999631718</v>
      </c>
      <c r="BN50" s="3">
        <f t="shared" ref="BN50" si="525">+BM50+BN31</f>
        <v>1185905.4205347621</v>
      </c>
      <c r="BO50" s="3">
        <f t="shared" ref="BO50" si="526">+BN50+BO31</f>
        <v>1427234.4605938881</v>
      </c>
      <c r="BP50" s="3">
        <f t="shared" ref="BP50" si="527">+BO50+BP31</f>
        <v>1691852.3556040458</v>
      </c>
      <c r="BQ50" s="3">
        <f t="shared" ref="BQ50" si="528">+BP50+BQ31</f>
        <v>1981750.2715864955</v>
      </c>
      <c r="BR50" s="3">
        <f t="shared" ref="BR50" si="529">+BQ50+BR31</f>
        <v>2299090.5665241936</v>
      </c>
    </row>
    <row r="51" spans="2:70" s="3" customFormat="1" x14ac:dyDescent="0.2">
      <c r="B51" s="3" t="s">
        <v>3</v>
      </c>
      <c r="C51" s="11"/>
      <c r="D51" s="11"/>
      <c r="E51" s="11"/>
      <c r="F51" s="11">
        <f>109140+13859</f>
        <v>122999</v>
      </c>
      <c r="G51" s="11">
        <f>19148+94340+14474</f>
        <v>127962</v>
      </c>
      <c r="H51" s="11">
        <f>121056+12112</f>
        <v>133168</v>
      </c>
      <c r="I51" s="11">
        <f>121177+12488</f>
        <v>133665</v>
      </c>
      <c r="J51" s="11">
        <f>119675+13078</f>
        <v>132753</v>
      </c>
      <c r="K51" s="11">
        <f>117229+12367</f>
        <v>129596</v>
      </c>
      <c r="L51" s="11">
        <f>121080+12961</f>
        <v>134041</v>
      </c>
      <c r="M51" s="11">
        <f>132596+14656</f>
        <v>147252</v>
      </c>
      <c r="N51" s="11">
        <f>136694+20703</f>
        <v>157397</v>
      </c>
      <c r="O51" s="11">
        <f>26622+108482+25294</f>
        <v>160398</v>
      </c>
      <c r="P51" s="11">
        <f>135863+25532</f>
        <v>161395</v>
      </c>
      <c r="Q51" s="11">
        <f>142003+26101</f>
        <v>168104</v>
      </c>
      <c r="R51" s="11">
        <f>20945+118704+29549</f>
        <v>169198</v>
      </c>
      <c r="S51" s="11">
        <f>20886+113084+30544</f>
        <v>164514</v>
      </c>
      <c r="T51" s="11">
        <f>124997+30665</f>
        <v>155662</v>
      </c>
      <c r="U51" s="11">
        <f>21984+94275+30419</f>
        <v>146678</v>
      </c>
      <c r="V51" s="11">
        <f>113762+30492</f>
        <v>144254</v>
      </c>
      <c r="W51" s="11">
        <f>115102+31213</f>
        <v>146315</v>
      </c>
      <c r="X51" s="11">
        <f>25929+92403+31224</f>
        <v>149556</v>
      </c>
      <c r="Y51" s="11">
        <f>119935+30907</f>
        <v>150842</v>
      </c>
      <c r="Z51" s="11">
        <f>110916+31008</f>
        <v>141924</v>
      </c>
      <c r="AA51" s="11">
        <f>108090+33994</f>
        <v>142084</v>
      </c>
      <c r="AB51" s="11">
        <f>100725+34172</f>
        <v>134897</v>
      </c>
      <c r="AC51" s="11">
        <f>93230+36177</f>
        <v>129407</v>
      </c>
      <c r="AD51" s="11">
        <f>23466+72191+37982</f>
        <v>133639</v>
      </c>
      <c r="AE51" s="11">
        <f>95328+51029</f>
        <v>146357</v>
      </c>
      <c r="AF51" s="11">
        <f>95148+52574</f>
        <v>147722</v>
      </c>
      <c r="AG51" s="11">
        <f>98496+63800</f>
        <v>162296</v>
      </c>
      <c r="AH51" s="11">
        <f>126843+68687</f>
        <v>195530</v>
      </c>
      <c r="AI51" s="11">
        <f>126840+106946</f>
        <v>233786</v>
      </c>
      <c r="AJ51" s="11">
        <f>242474+131461</f>
        <v>373935</v>
      </c>
      <c r="AK51" s="11"/>
      <c r="AL51" s="11"/>
      <c r="AM51" s="11"/>
      <c r="AQ51" s="3">
        <f>8656.672+7189.099+85.16</f>
        <v>15930.931</v>
      </c>
      <c r="AR51" s="3">
        <f>10197.588+14287.187+128.977</f>
        <v>24613.752</v>
      </c>
      <c r="AS51" s="3">
        <f>34975+523</f>
        <v>35498</v>
      </c>
      <c r="AT51" s="3">
        <f>44626+790</f>
        <v>45416</v>
      </c>
      <c r="AU51" s="3">
        <f>48088+1469</f>
        <v>49557</v>
      </c>
      <c r="AV51" s="3">
        <f>58717+1976</f>
        <v>60693</v>
      </c>
      <c r="AW51" s="3">
        <f>64395+3079</f>
        <v>67474</v>
      </c>
      <c r="AX51" s="3">
        <f>73066+5183</f>
        <v>78249</v>
      </c>
      <c r="AY51" s="3">
        <f>86333+5878</f>
        <v>92211</v>
      </c>
      <c r="AZ51" s="3">
        <f>101871+7813</f>
        <v>109684</v>
      </c>
      <c r="BA51" s="3">
        <f>+F51</f>
        <v>122999</v>
      </c>
      <c r="BB51" s="3">
        <f>+J51</f>
        <v>132753</v>
      </c>
      <c r="BC51" s="3">
        <f>+N51</f>
        <v>157397</v>
      </c>
      <c r="BD51" s="3">
        <f>+R51</f>
        <v>169198</v>
      </c>
      <c r="BE51" s="3">
        <f>V51</f>
        <v>144254</v>
      </c>
      <c r="BF51" s="3">
        <f>+Z51</f>
        <v>141924</v>
      </c>
      <c r="BG51" s="3">
        <f t="shared" ref="BG51:BG60" si="530">AD51</f>
        <v>133639</v>
      </c>
      <c r="BH51" s="3">
        <f>+AH51</f>
        <v>195530</v>
      </c>
    </row>
    <row r="52" spans="2:70" s="3" customFormat="1" x14ac:dyDescent="0.2">
      <c r="B52" s="3" t="s">
        <v>53</v>
      </c>
      <c r="C52" s="11"/>
      <c r="D52" s="11"/>
      <c r="E52" s="11"/>
      <c r="F52" s="11">
        <v>20838</v>
      </c>
      <c r="G52" s="11">
        <v>19149</v>
      </c>
      <c r="H52" s="11">
        <v>20965</v>
      </c>
      <c r="I52" s="11">
        <v>20889</v>
      </c>
      <c r="J52" s="11">
        <v>25326</v>
      </c>
      <c r="K52" s="11">
        <v>21825</v>
      </c>
      <c r="L52" s="11">
        <v>21201</v>
      </c>
      <c r="M52" s="11">
        <v>24925</v>
      </c>
      <c r="N52" s="11">
        <v>30930</v>
      </c>
      <c r="O52" s="11">
        <v>28006</v>
      </c>
      <c r="P52" s="11">
        <v>31967</v>
      </c>
      <c r="Q52" s="11">
        <v>34047</v>
      </c>
      <c r="R52" s="11">
        <v>39304</v>
      </c>
      <c r="S52" s="11">
        <v>34703</v>
      </c>
      <c r="T52" s="11">
        <v>35707</v>
      </c>
      <c r="U52" s="11">
        <v>34697</v>
      </c>
      <c r="V52" s="11">
        <v>40258</v>
      </c>
      <c r="W52" s="11">
        <v>36036</v>
      </c>
      <c r="X52" s="11">
        <v>38804</v>
      </c>
      <c r="Y52" s="11">
        <v>41020</v>
      </c>
      <c r="Z52" s="11">
        <v>47964</v>
      </c>
      <c r="AA52" s="11">
        <v>44552</v>
      </c>
      <c r="AB52" s="11">
        <v>47087</v>
      </c>
      <c r="AC52" s="11">
        <v>49104</v>
      </c>
      <c r="AD52" s="11">
        <v>52340</v>
      </c>
      <c r="AE52" s="11">
        <v>51000</v>
      </c>
      <c r="AF52" s="11">
        <v>55048</v>
      </c>
      <c r="AG52" s="11">
        <v>57148</v>
      </c>
      <c r="AH52" s="11">
        <v>62886</v>
      </c>
      <c r="AI52" s="11">
        <v>62999</v>
      </c>
      <c r="AJ52" s="11">
        <v>69175</v>
      </c>
      <c r="AK52" s="11"/>
      <c r="AL52" s="11"/>
      <c r="AM52" s="11"/>
      <c r="AQ52" s="3">
        <v>2642.192</v>
      </c>
      <c r="AR52" s="3">
        <v>3178.471</v>
      </c>
      <c r="AS52" s="3">
        <f>4252+750</f>
        <v>5002</v>
      </c>
      <c r="AT52" s="3">
        <f>5427+745</f>
        <v>6172</v>
      </c>
      <c r="AU52" s="3">
        <v>7885</v>
      </c>
      <c r="AV52" s="3">
        <f>8882+100</f>
        <v>8982</v>
      </c>
      <c r="AW52" s="3">
        <f>9383+875</f>
        <v>10258</v>
      </c>
      <c r="AX52" s="3">
        <f>11556+450</f>
        <v>12006</v>
      </c>
      <c r="AY52" s="3">
        <v>14137</v>
      </c>
      <c r="AZ52" s="3">
        <v>18336</v>
      </c>
      <c r="BA52" s="3">
        <f t="shared" ref="BA52:BA60" si="531">+F52</f>
        <v>20838</v>
      </c>
      <c r="BB52" s="3">
        <f t="shared" ref="BB52:BB60" si="532">+J52</f>
        <v>25326</v>
      </c>
      <c r="BC52" s="3">
        <f t="shared" ref="BC52:BC60" si="533">+N52</f>
        <v>30930</v>
      </c>
      <c r="BD52" s="3">
        <f t="shared" ref="BD52:BD60" si="534">+R52</f>
        <v>39304</v>
      </c>
      <c r="BE52" s="3">
        <f t="shared" ref="BE52:BE60" si="535">V52</f>
        <v>40258</v>
      </c>
      <c r="BF52" s="3">
        <f t="shared" ref="BF52:BF60" si="536">+Z52</f>
        <v>47964</v>
      </c>
      <c r="BG52" s="3">
        <f t="shared" si="530"/>
        <v>52340</v>
      </c>
      <c r="BH52" s="3">
        <f t="shared" ref="BH52:BH60" si="537">+AH52</f>
        <v>62886</v>
      </c>
    </row>
    <row r="53" spans="2:70" s="3" customFormat="1" x14ac:dyDescent="0.2">
      <c r="B53" s="3" t="s">
        <v>30</v>
      </c>
      <c r="C53" s="11"/>
      <c r="D53" s="11"/>
      <c r="E53" s="11"/>
      <c r="F53" s="11">
        <v>355</v>
      </c>
      <c r="G53" s="11">
        <v>111</v>
      </c>
      <c r="H53" s="11">
        <v>352</v>
      </c>
      <c r="I53" s="11">
        <v>192</v>
      </c>
      <c r="J53" s="11">
        <v>2166</v>
      </c>
      <c r="K53" s="11">
        <v>1910</v>
      </c>
      <c r="L53" s="11">
        <v>394</v>
      </c>
      <c r="M53" s="11">
        <v>588</v>
      </c>
      <c r="N53" s="11">
        <v>454</v>
      </c>
      <c r="O53" s="11">
        <v>493</v>
      </c>
      <c r="P53" s="11">
        <v>884</v>
      </c>
      <c r="Q53" s="11">
        <v>753</v>
      </c>
      <c r="R53" s="11">
        <v>966</v>
      </c>
      <c r="S53" s="11">
        <v>919</v>
      </c>
      <c r="T53" s="11">
        <v>1366</v>
      </c>
      <c r="U53" s="11">
        <v>1479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/>
      <c r="AL53" s="11"/>
      <c r="AM53" s="11"/>
      <c r="AQ53" s="3">
        <v>286.10500000000002</v>
      </c>
      <c r="AR53" s="3">
        <f>644.406+23.244</f>
        <v>667.65</v>
      </c>
      <c r="AS53" s="3">
        <v>259</v>
      </c>
      <c r="AT53" s="3">
        <v>215</v>
      </c>
      <c r="AU53" s="3">
        <v>1144</v>
      </c>
      <c r="AV53" s="3">
        <f>1526+408</f>
        <v>1934</v>
      </c>
      <c r="AW53" s="3">
        <v>591</v>
      </c>
      <c r="AX53" s="3">
        <v>1903</v>
      </c>
      <c r="AY53" s="3">
        <v>95</v>
      </c>
      <c r="AZ53" s="3">
        <v>369</v>
      </c>
      <c r="BA53" s="3">
        <f t="shared" si="531"/>
        <v>355</v>
      </c>
      <c r="BB53" s="3">
        <f t="shared" si="532"/>
        <v>2166</v>
      </c>
      <c r="BC53" s="3">
        <f t="shared" si="533"/>
        <v>454</v>
      </c>
      <c r="BD53" s="3">
        <f t="shared" si="534"/>
        <v>966</v>
      </c>
      <c r="BE53" s="3">
        <f t="shared" si="535"/>
        <v>0</v>
      </c>
      <c r="BF53" s="3">
        <f t="shared" si="536"/>
        <v>0</v>
      </c>
      <c r="BG53" s="3">
        <f t="shared" si="530"/>
        <v>0</v>
      </c>
      <c r="BH53" s="3">
        <f t="shared" si="537"/>
        <v>0</v>
      </c>
    </row>
    <row r="54" spans="2:70" s="3" customFormat="1" x14ac:dyDescent="0.2">
      <c r="B54" s="3" t="s">
        <v>54</v>
      </c>
      <c r="C54" s="11"/>
      <c r="D54" s="11"/>
      <c r="E54" s="11"/>
      <c r="F54" s="11">
        <v>1107</v>
      </c>
      <c r="G54" s="11">
        <v>1053</v>
      </c>
      <c r="H54" s="11">
        <v>964</v>
      </c>
      <c r="I54" s="11">
        <v>1401</v>
      </c>
      <c r="J54" s="11">
        <v>999</v>
      </c>
      <c r="K54" s="11">
        <v>889</v>
      </c>
      <c r="L54" s="11">
        <v>815</v>
      </c>
      <c r="M54" s="11">
        <v>835</v>
      </c>
      <c r="N54" s="11">
        <v>728</v>
      </c>
      <c r="O54" s="11">
        <v>888</v>
      </c>
      <c r="P54" s="11">
        <v>907</v>
      </c>
      <c r="Q54" s="11">
        <v>1278</v>
      </c>
      <c r="R54" s="11">
        <v>1170</v>
      </c>
      <c r="S54" s="11">
        <v>1369</v>
      </c>
      <c r="T54" s="11">
        <v>1980</v>
      </c>
      <c r="U54" s="11">
        <v>3156</v>
      </c>
      <c r="V54" s="11">
        <v>2670</v>
      </c>
      <c r="W54" s="11">
        <v>2315</v>
      </c>
      <c r="X54" s="11">
        <v>2231</v>
      </c>
      <c r="Y54" s="11">
        <v>2957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2439</v>
      </c>
      <c r="AI54" s="11">
        <v>0</v>
      </c>
      <c r="AJ54" s="11">
        <v>9991</v>
      </c>
      <c r="AK54" s="11"/>
      <c r="AL54" s="11"/>
      <c r="AM54" s="11"/>
      <c r="AQ54" s="3">
        <v>0</v>
      </c>
      <c r="AR54" s="3">
        <v>0</v>
      </c>
      <c r="AS54" s="3">
        <v>0</v>
      </c>
      <c r="AT54" s="3">
        <v>35</v>
      </c>
      <c r="AU54" s="3">
        <v>505</v>
      </c>
      <c r="AV54" s="3">
        <v>0</v>
      </c>
      <c r="AW54" s="3">
        <v>3412</v>
      </c>
      <c r="AX54" s="3">
        <v>491</v>
      </c>
      <c r="AY54" s="3">
        <v>268</v>
      </c>
      <c r="AZ54" s="3">
        <v>749</v>
      </c>
      <c r="BA54" s="3">
        <f t="shared" si="531"/>
        <v>1107</v>
      </c>
      <c r="BB54" s="3">
        <f t="shared" si="532"/>
        <v>999</v>
      </c>
      <c r="BC54" s="3">
        <f t="shared" si="533"/>
        <v>728</v>
      </c>
      <c r="BD54" s="3">
        <f t="shared" si="534"/>
        <v>1170</v>
      </c>
      <c r="BE54" s="3">
        <f t="shared" si="535"/>
        <v>2670</v>
      </c>
      <c r="BF54" s="3">
        <f t="shared" si="536"/>
        <v>0</v>
      </c>
      <c r="BG54" s="3">
        <f t="shared" si="530"/>
        <v>0</v>
      </c>
      <c r="BH54" s="3">
        <f t="shared" si="537"/>
        <v>2439</v>
      </c>
    </row>
    <row r="55" spans="2:70" s="3" customFormat="1" x14ac:dyDescent="0.2">
      <c r="B55" s="3" t="s">
        <v>55</v>
      </c>
      <c r="C55" s="11"/>
      <c r="D55" s="11"/>
      <c r="E55" s="11"/>
      <c r="F55" s="11">
        <v>4236</v>
      </c>
      <c r="G55" s="11">
        <v>4406</v>
      </c>
      <c r="H55" s="11">
        <v>4100</v>
      </c>
      <c r="I55" s="11">
        <v>4699</v>
      </c>
      <c r="J55" s="11">
        <v>4412</v>
      </c>
      <c r="K55" s="11">
        <v>5165</v>
      </c>
      <c r="L55" s="11">
        <v>5579</v>
      </c>
      <c r="M55" s="11">
        <v>5425</v>
      </c>
      <c r="N55" s="11">
        <v>5490</v>
      </c>
      <c r="O55" s="11">
        <v>7646</v>
      </c>
      <c r="P55" s="11">
        <v>6076</v>
      </c>
      <c r="Q55" s="11">
        <v>6029</v>
      </c>
      <c r="R55" s="11">
        <v>7054</v>
      </c>
      <c r="S55" s="11">
        <v>6892</v>
      </c>
      <c r="T55" s="11">
        <v>8321</v>
      </c>
      <c r="U55" s="11">
        <v>10518</v>
      </c>
      <c r="V55" s="11">
        <v>8105</v>
      </c>
      <c r="W55" s="11">
        <v>8532</v>
      </c>
      <c r="X55" s="11">
        <v>9421</v>
      </c>
      <c r="Y55" s="11">
        <v>12398</v>
      </c>
      <c r="Z55" s="11">
        <v>12650</v>
      </c>
      <c r="AA55" s="11">
        <v>12829</v>
      </c>
      <c r="AB55" s="11">
        <v>14183</v>
      </c>
      <c r="AC55" s="11">
        <v>15207</v>
      </c>
      <c r="AD55" s="11">
        <v>15714</v>
      </c>
      <c r="AE55" s="11">
        <v>15724</v>
      </c>
      <c r="AF55" s="11">
        <v>16020</v>
      </c>
      <c r="AG55" s="11">
        <v>18303</v>
      </c>
      <c r="AH55" s="11">
        <v>13870</v>
      </c>
      <c r="AI55" s="11">
        <v>23914</v>
      </c>
      <c r="AJ55" s="11">
        <v>21884</v>
      </c>
      <c r="AK55" s="11"/>
      <c r="AL55" s="11"/>
      <c r="AM55" s="11"/>
      <c r="AQ55" s="3">
        <v>1404.114</v>
      </c>
      <c r="AR55" s="3">
        <v>836.06200000000001</v>
      </c>
      <c r="AS55" s="3">
        <v>1326</v>
      </c>
      <c r="AT55" s="3">
        <v>1710</v>
      </c>
      <c r="AU55" s="3">
        <f>2132+700</f>
        <v>2832</v>
      </c>
      <c r="AV55" s="3">
        <v>3253</v>
      </c>
      <c r="AW55" s="3">
        <v>3187</v>
      </c>
      <c r="AX55" s="3">
        <v>2648</v>
      </c>
      <c r="AY55" s="3">
        <v>4575</v>
      </c>
      <c r="AZ55" s="3">
        <v>2983</v>
      </c>
      <c r="BA55" s="3">
        <f t="shared" si="531"/>
        <v>4236</v>
      </c>
      <c r="BB55" s="3">
        <f t="shared" si="532"/>
        <v>4412</v>
      </c>
      <c r="BC55" s="3">
        <f t="shared" si="533"/>
        <v>5490</v>
      </c>
      <c r="BD55" s="3">
        <f t="shared" si="534"/>
        <v>7054</v>
      </c>
      <c r="BE55" s="3">
        <f t="shared" si="535"/>
        <v>8105</v>
      </c>
      <c r="BF55" s="3">
        <f t="shared" si="536"/>
        <v>12650</v>
      </c>
      <c r="BG55" s="3">
        <f t="shared" si="530"/>
        <v>15714</v>
      </c>
      <c r="BH55" s="3">
        <f t="shared" si="537"/>
        <v>13870</v>
      </c>
    </row>
    <row r="56" spans="2:70" x14ac:dyDescent="0.2">
      <c r="B56" s="3" t="s">
        <v>56</v>
      </c>
      <c r="C56" s="11"/>
      <c r="D56" s="11"/>
      <c r="E56" s="11"/>
      <c r="F56" s="11">
        <v>737</v>
      </c>
      <c r="G56" s="11">
        <v>750</v>
      </c>
      <c r="H56" s="11">
        <v>585</v>
      </c>
      <c r="I56" s="11">
        <v>564</v>
      </c>
      <c r="J56" s="11">
        <v>721</v>
      </c>
      <c r="K56" s="11">
        <v>730</v>
      </c>
      <c r="L56" s="11">
        <v>895</v>
      </c>
      <c r="M56" s="11">
        <v>972</v>
      </c>
      <c r="N56" s="11">
        <v>1084</v>
      </c>
      <c r="O56" s="11">
        <v>1129</v>
      </c>
      <c r="P56" s="11">
        <v>1153</v>
      </c>
      <c r="Q56" s="11">
        <v>1195</v>
      </c>
      <c r="R56" s="11">
        <v>1284</v>
      </c>
      <c r="S56" s="2">
        <v>1388</v>
      </c>
      <c r="T56" s="11">
        <v>1490</v>
      </c>
      <c r="U56" s="11">
        <v>2991</v>
      </c>
      <c r="V56" s="11">
        <v>5261</v>
      </c>
      <c r="W56" s="11">
        <v>6885</v>
      </c>
      <c r="X56" s="11">
        <v>9357</v>
      </c>
      <c r="Y56" s="11">
        <v>10983</v>
      </c>
      <c r="Z56" s="11">
        <v>12169</v>
      </c>
      <c r="AA56" s="11">
        <v>11687</v>
      </c>
      <c r="AB56" s="11">
        <v>14958</v>
      </c>
      <c r="AC56" s="11">
        <v>15915</v>
      </c>
      <c r="AD56" s="11">
        <v>17180</v>
      </c>
      <c r="AE56" s="11">
        <v>18386</v>
      </c>
      <c r="AF56" s="11">
        <v>19289</v>
      </c>
      <c r="AG56" s="11">
        <v>10331</v>
      </c>
      <c r="AH56" s="11">
        <v>9113</v>
      </c>
      <c r="AI56" s="11">
        <v>1995</v>
      </c>
      <c r="AJ56" s="11">
        <v>1448</v>
      </c>
      <c r="AK56" s="11"/>
      <c r="AL56" s="11"/>
      <c r="AM56" s="11"/>
      <c r="AQ56" s="3">
        <v>0</v>
      </c>
      <c r="AR56" s="3">
        <v>262.61099999999999</v>
      </c>
      <c r="AS56">
        <v>265</v>
      </c>
      <c r="AT56" s="3">
        <v>0</v>
      </c>
      <c r="AU56" s="3">
        <v>0</v>
      </c>
      <c r="AV56" s="3">
        <v>0</v>
      </c>
      <c r="AW56" s="3">
        <v>176</v>
      </c>
      <c r="AX56" s="3">
        <v>251</v>
      </c>
      <c r="AY56" s="3">
        <v>383</v>
      </c>
      <c r="AZ56" s="3">
        <v>680</v>
      </c>
      <c r="BA56" s="3">
        <f t="shared" si="531"/>
        <v>737</v>
      </c>
      <c r="BB56" s="3">
        <f t="shared" si="532"/>
        <v>721</v>
      </c>
      <c r="BC56" s="3">
        <f t="shared" si="533"/>
        <v>1084</v>
      </c>
      <c r="BD56" s="3">
        <f t="shared" si="534"/>
        <v>1284</v>
      </c>
      <c r="BE56" s="3">
        <f t="shared" si="535"/>
        <v>5261</v>
      </c>
      <c r="BF56" s="3">
        <f t="shared" si="536"/>
        <v>12169</v>
      </c>
      <c r="BG56" s="3">
        <f t="shared" si="530"/>
        <v>17180</v>
      </c>
      <c r="BH56" s="3">
        <f t="shared" si="537"/>
        <v>9113</v>
      </c>
    </row>
    <row r="57" spans="2:70" x14ac:dyDescent="0.2">
      <c r="B57" s="3" t="s">
        <v>57</v>
      </c>
      <c r="C57" s="11"/>
      <c r="D57" s="11"/>
      <c r="E57" s="11"/>
      <c r="F57" s="11">
        <v>59719</v>
      </c>
      <c r="G57" s="11">
        <v>60528</v>
      </c>
      <c r="H57" s="11">
        <v>64891</v>
      </c>
      <c r="I57" s="11">
        <v>69252</v>
      </c>
      <c r="J57" s="11">
        <v>73646</v>
      </c>
      <c r="K57" s="11">
        <v>76747</v>
      </c>
      <c r="L57" s="11">
        <v>78748</v>
      </c>
      <c r="M57" s="11">
        <v>81636</v>
      </c>
      <c r="N57" s="11">
        <v>84749</v>
      </c>
      <c r="O57" s="11">
        <v>87606</v>
      </c>
      <c r="P57" s="11">
        <v>91697</v>
      </c>
      <c r="Q57" s="11">
        <v>94631</v>
      </c>
      <c r="R57" s="11">
        <v>97599</v>
      </c>
      <c r="S57" s="11">
        <v>104218</v>
      </c>
      <c r="T57" s="11">
        <v>106223</v>
      </c>
      <c r="U57" s="11">
        <v>108363</v>
      </c>
      <c r="V57" s="11">
        <v>112668</v>
      </c>
      <c r="W57" s="11">
        <v>117560</v>
      </c>
      <c r="X57" s="11">
        <v>121208</v>
      </c>
      <c r="Y57" s="11">
        <v>125705</v>
      </c>
      <c r="Z57" s="11">
        <v>134345</v>
      </c>
      <c r="AA57" s="11">
        <v>143182</v>
      </c>
      <c r="AB57" s="11">
        <v>151155</v>
      </c>
      <c r="AC57" s="11">
        <v>161270</v>
      </c>
      <c r="AD57" s="11">
        <v>171036</v>
      </c>
      <c r="AE57" s="11">
        <v>185062</v>
      </c>
      <c r="AF57" s="11">
        <v>203231</v>
      </c>
      <c r="AG57" s="11">
        <v>223787</v>
      </c>
      <c r="AH57" s="11">
        <v>246597</v>
      </c>
      <c r="AI57" s="11">
        <v>281020</v>
      </c>
      <c r="AJ57" s="11">
        <v>321212</v>
      </c>
      <c r="AK57" s="11"/>
      <c r="AL57" s="11"/>
      <c r="AM57" s="11"/>
      <c r="AQ57" s="3">
        <v>5233.8429999999998</v>
      </c>
      <c r="AR57" s="3">
        <v>4844.6099999999997</v>
      </c>
      <c r="AS57" s="3">
        <v>7759</v>
      </c>
      <c r="AT57" s="3">
        <v>9603</v>
      </c>
      <c r="AU57" s="3">
        <v>11854</v>
      </c>
      <c r="AV57" s="3">
        <v>16524</v>
      </c>
      <c r="AW57" s="3">
        <v>23883</v>
      </c>
      <c r="AX57" s="3">
        <v>29016</v>
      </c>
      <c r="AY57" s="3">
        <v>34234</v>
      </c>
      <c r="AZ57" s="3">
        <v>42383</v>
      </c>
      <c r="BA57" s="3">
        <f t="shared" si="531"/>
        <v>59719</v>
      </c>
      <c r="BB57" s="3">
        <f t="shared" si="532"/>
        <v>73646</v>
      </c>
      <c r="BC57" s="3">
        <f t="shared" si="533"/>
        <v>84749</v>
      </c>
      <c r="BD57" s="3">
        <f t="shared" si="534"/>
        <v>97599</v>
      </c>
      <c r="BE57" s="3">
        <f t="shared" si="535"/>
        <v>112668</v>
      </c>
      <c r="BF57" s="3">
        <f t="shared" si="536"/>
        <v>134345</v>
      </c>
      <c r="BG57" s="3">
        <f t="shared" si="530"/>
        <v>171036</v>
      </c>
      <c r="BH57" s="3">
        <f t="shared" si="537"/>
        <v>246597</v>
      </c>
    </row>
    <row r="58" spans="2:70" x14ac:dyDescent="0.2">
      <c r="B58" s="3" t="s">
        <v>58</v>
      </c>
      <c r="C58" s="11"/>
      <c r="D58" s="11"/>
      <c r="E58" s="11"/>
      <c r="F58" s="11">
        <v>0</v>
      </c>
      <c r="G58" s="11">
        <v>8837</v>
      </c>
      <c r="H58" s="11">
        <v>9713</v>
      </c>
      <c r="I58" s="11">
        <v>10341</v>
      </c>
      <c r="J58" s="11">
        <v>10941</v>
      </c>
      <c r="K58" s="11">
        <v>11219</v>
      </c>
      <c r="L58" s="11">
        <v>11567</v>
      </c>
      <c r="M58" s="11">
        <v>11946</v>
      </c>
      <c r="N58" s="11">
        <v>12211</v>
      </c>
      <c r="O58" s="11">
        <v>12598</v>
      </c>
      <c r="P58" s="11">
        <v>12978</v>
      </c>
      <c r="Q58" s="11">
        <v>12918</v>
      </c>
      <c r="R58" s="11">
        <v>12959</v>
      </c>
      <c r="S58" s="11">
        <v>12992</v>
      </c>
      <c r="T58" s="11">
        <v>13398</v>
      </c>
      <c r="U58" s="11">
        <v>13677</v>
      </c>
      <c r="V58" s="11">
        <v>14381</v>
      </c>
      <c r="W58" s="11">
        <v>14447</v>
      </c>
      <c r="X58" s="11">
        <v>14469</v>
      </c>
      <c r="Y58" s="11">
        <v>14199</v>
      </c>
      <c r="Z58" s="11">
        <v>14091</v>
      </c>
      <c r="AA58" s="11">
        <v>13768</v>
      </c>
      <c r="AB58" s="11">
        <v>13606</v>
      </c>
      <c r="AC58" s="11">
        <v>13561</v>
      </c>
      <c r="AD58" s="11">
        <v>13588</v>
      </c>
      <c r="AE58" s="11">
        <v>13722</v>
      </c>
      <c r="AF58" s="11">
        <v>14255</v>
      </c>
      <c r="AG58" s="11">
        <v>14524</v>
      </c>
      <c r="AH58" s="11">
        <v>15221</v>
      </c>
      <c r="AI58" s="11">
        <v>15509</v>
      </c>
      <c r="AJ58" s="11">
        <v>17694</v>
      </c>
      <c r="AK58" s="11"/>
      <c r="AL58" s="11"/>
      <c r="AM58" s="11"/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f t="shared" si="531"/>
        <v>0</v>
      </c>
      <c r="BB58" s="3">
        <f t="shared" si="532"/>
        <v>10941</v>
      </c>
      <c r="BC58" s="3">
        <f t="shared" si="533"/>
        <v>12211</v>
      </c>
      <c r="BD58" s="3">
        <f t="shared" si="534"/>
        <v>12959</v>
      </c>
      <c r="BE58" s="3">
        <f t="shared" si="535"/>
        <v>14381</v>
      </c>
      <c r="BF58" s="3">
        <f t="shared" si="536"/>
        <v>14091</v>
      </c>
      <c r="BG58" s="3">
        <f t="shared" si="530"/>
        <v>13588</v>
      </c>
      <c r="BH58" s="3">
        <f t="shared" si="537"/>
        <v>15221</v>
      </c>
    </row>
    <row r="59" spans="2:70" x14ac:dyDescent="0.2">
      <c r="B59" s="3" t="s">
        <v>61</v>
      </c>
      <c r="C59" s="11"/>
      <c r="D59" s="11"/>
      <c r="E59" s="11"/>
      <c r="F59" s="11">
        <f>2220+17888</f>
        <v>20108</v>
      </c>
      <c r="G59" s="11">
        <f>2063+17943</f>
        <v>20006</v>
      </c>
      <c r="H59" s="11">
        <f>1902+18000</f>
        <v>19902</v>
      </c>
      <c r="I59" s="11">
        <f>1747+18069</f>
        <v>19816</v>
      </c>
      <c r="J59" s="11">
        <f>1979+20624</f>
        <v>22603</v>
      </c>
      <c r="K59" s="11">
        <f>1840+20734</f>
        <v>22574</v>
      </c>
      <c r="L59" s="11">
        <f>20824+1697</f>
        <v>22521</v>
      </c>
      <c r="M59" s="11">
        <f>1520+20870</f>
        <v>22390</v>
      </c>
      <c r="N59" s="11">
        <f>1445+21175</f>
        <v>22620</v>
      </c>
      <c r="O59" s="11">
        <f>1823+22341</f>
        <v>24164</v>
      </c>
      <c r="P59" s="11">
        <f>1626+22406</f>
        <v>24032</v>
      </c>
      <c r="Q59" s="11">
        <f>1549+22623</f>
        <v>24172</v>
      </c>
      <c r="R59" s="11">
        <f>1417+22956</f>
        <v>24373</v>
      </c>
      <c r="S59" s="11">
        <f>1313+23010</f>
        <v>24323</v>
      </c>
      <c r="T59" s="11">
        <f>1377+23949</f>
        <v>25326</v>
      </c>
      <c r="U59" s="11">
        <f>28834+2192</f>
        <v>31026</v>
      </c>
      <c r="V59" s="11">
        <f>2084+28960</f>
        <v>31044</v>
      </c>
      <c r="W59" s="11">
        <f>1968+28994</f>
        <v>30962</v>
      </c>
      <c r="X59" s="11">
        <f>29210+1966</f>
        <v>31176</v>
      </c>
      <c r="Y59" s="11">
        <f>1833+29146</f>
        <v>30979</v>
      </c>
      <c r="Z59" s="11">
        <v>29198</v>
      </c>
      <c r="AA59" s="11">
        <v>29183</v>
      </c>
      <c r="AB59" s="11">
        <v>29185</v>
      </c>
      <c r="AC59" s="11">
        <v>31935</v>
      </c>
      <c r="AD59" s="11">
        <v>31885</v>
      </c>
      <c r="AE59" s="11">
        <v>32173</v>
      </c>
      <c r="AF59" s="11">
        <v>32335</v>
      </c>
      <c r="AG59" s="11">
        <v>33269</v>
      </c>
      <c r="AH59" s="11">
        <v>33380</v>
      </c>
      <c r="AI59" s="11">
        <f>57774+9444</f>
        <v>67218</v>
      </c>
      <c r="AJ59" s="11">
        <f>57828+9105</f>
        <v>66933</v>
      </c>
      <c r="AK59" s="11"/>
      <c r="AL59" s="11"/>
      <c r="AM59" s="11"/>
      <c r="AQ59" s="3">
        <f>996.69+4839.854</f>
        <v>5836.5439999999999</v>
      </c>
      <c r="AR59" s="3">
        <f>774.938+4902.565</f>
        <v>5677.5029999999997</v>
      </c>
      <c r="AS59" s="3">
        <f>6256+1044</f>
        <v>7300</v>
      </c>
      <c r="AT59">
        <f>1578+7346</f>
        <v>8924</v>
      </c>
      <c r="AU59" s="3">
        <f>7473+10537</f>
        <v>18010</v>
      </c>
      <c r="AV59" s="3">
        <f>6066+11492</f>
        <v>17558</v>
      </c>
      <c r="AW59" s="3">
        <f>4607+15599</f>
        <v>20206</v>
      </c>
      <c r="AX59" s="3">
        <f>3847+15869</f>
        <v>19716</v>
      </c>
      <c r="AY59">
        <f>3307+16468</f>
        <v>19775</v>
      </c>
      <c r="AZ59" s="3">
        <f>2692+16747</f>
        <v>19439</v>
      </c>
      <c r="BA59" s="3">
        <f t="shared" si="531"/>
        <v>20108</v>
      </c>
      <c r="BB59" s="3">
        <f t="shared" si="532"/>
        <v>22603</v>
      </c>
      <c r="BC59" s="3">
        <f t="shared" si="533"/>
        <v>22620</v>
      </c>
      <c r="BD59" s="3">
        <f t="shared" si="534"/>
        <v>24373</v>
      </c>
      <c r="BE59" s="3">
        <f t="shared" si="535"/>
        <v>31044</v>
      </c>
      <c r="BF59" s="3">
        <f t="shared" si="536"/>
        <v>29198</v>
      </c>
      <c r="BG59" s="3">
        <f t="shared" si="530"/>
        <v>31885</v>
      </c>
      <c r="BH59" s="3">
        <f t="shared" si="537"/>
        <v>33380</v>
      </c>
    </row>
    <row r="60" spans="2:70" x14ac:dyDescent="0.2">
      <c r="B60" s="3" t="s">
        <v>60</v>
      </c>
      <c r="C60" s="11"/>
      <c r="D60" s="11"/>
      <c r="E60" s="11"/>
      <c r="F60" s="11">
        <v>2693</v>
      </c>
      <c r="G60" s="11">
        <v>2547</v>
      </c>
      <c r="H60" s="11">
        <v>2461</v>
      </c>
      <c r="I60" s="11">
        <v>2225</v>
      </c>
      <c r="J60" s="11">
        <v>2342</v>
      </c>
      <c r="K60" s="11">
        <v>2748</v>
      </c>
      <c r="L60" s="11">
        <v>2731</v>
      </c>
      <c r="M60" s="11">
        <v>3274</v>
      </c>
      <c r="N60" s="11">
        <v>3953</v>
      </c>
      <c r="O60" s="11">
        <v>4167</v>
      </c>
      <c r="P60" s="11">
        <v>4298</v>
      </c>
      <c r="Q60" s="11">
        <v>4276</v>
      </c>
      <c r="R60" s="11">
        <v>5361</v>
      </c>
      <c r="S60" s="11">
        <v>5778</v>
      </c>
      <c r="T60" s="11">
        <v>5712</v>
      </c>
      <c r="U60" s="11">
        <v>5670</v>
      </c>
      <c r="V60" s="11">
        <v>6623</v>
      </c>
      <c r="W60" s="11">
        <v>6439</v>
      </c>
      <c r="X60" s="11">
        <v>6822</v>
      </c>
      <c r="Y60" s="11">
        <v>7628</v>
      </c>
      <c r="Z60" s="11">
        <v>10051</v>
      </c>
      <c r="AA60" s="11">
        <v>10065</v>
      </c>
      <c r="AB60" s="11">
        <v>9699</v>
      </c>
      <c r="AC60" s="11">
        <v>13867</v>
      </c>
      <c r="AD60" s="11">
        <v>14874</v>
      </c>
      <c r="AE60" s="11">
        <v>12950</v>
      </c>
      <c r="AF60" s="11">
        <v>14153</v>
      </c>
      <c r="AG60" s="11">
        <v>16811</v>
      </c>
      <c r="AH60" s="11">
        <v>16245</v>
      </c>
      <c r="AI60" s="11">
        <v>17478</v>
      </c>
      <c r="AJ60" s="11">
        <v>39711</v>
      </c>
      <c r="AK60" s="11"/>
      <c r="AL60" s="11"/>
      <c r="AM60" s="11"/>
      <c r="AQ60" s="3">
        <v>433.846</v>
      </c>
      <c r="AR60" s="3">
        <v>416.11900000000003</v>
      </c>
      <c r="AS60" s="3">
        <v>442</v>
      </c>
      <c r="AT60" s="3">
        <v>499</v>
      </c>
      <c r="AU60" s="3">
        <v>2011</v>
      </c>
      <c r="AV60" s="3">
        <v>1976</v>
      </c>
      <c r="AW60" s="3">
        <v>0</v>
      </c>
      <c r="AX60" s="3">
        <v>3181</v>
      </c>
      <c r="AY60" s="3">
        <v>1819</v>
      </c>
      <c r="AZ60" s="3">
        <v>2672</v>
      </c>
      <c r="BA60" s="3">
        <f t="shared" si="531"/>
        <v>2693</v>
      </c>
      <c r="BB60" s="3">
        <f t="shared" si="532"/>
        <v>2342</v>
      </c>
      <c r="BC60" s="3">
        <f t="shared" si="533"/>
        <v>3953</v>
      </c>
      <c r="BD60" s="3">
        <f t="shared" si="534"/>
        <v>5361</v>
      </c>
      <c r="BE60" s="3">
        <f t="shared" si="535"/>
        <v>6623</v>
      </c>
      <c r="BF60" s="3">
        <f t="shared" si="536"/>
        <v>10051</v>
      </c>
      <c r="BG60" s="3">
        <f t="shared" si="530"/>
        <v>14874</v>
      </c>
      <c r="BH60" s="3">
        <f t="shared" si="537"/>
        <v>16245</v>
      </c>
    </row>
    <row r="61" spans="2:70" x14ac:dyDescent="0.2">
      <c r="B61" s="3" t="s">
        <v>59</v>
      </c>
      <c r="C61" s="11"/>
      <c r="D61" s="11"/>
      <c r="E61" s="11"/>
      <c r="F61" s="11">
        <f t="shared" ref="F61:N61" si="538">SUM(F51:F60)</f>
        <v>232792</v>
      </c>
      <c r="G61" s="11">
        <f t="shared" si="538"/>
        <v>245349</v>
      </c>
      <c r="H61" s="11">
        <f t="shared" si="538"/>
        <v>257101</v>
      </c>
      <c r="I61" s="11">
        <f t="shared" si="538"/>
        <v>263044</v>
      </c>
      <c r="J61" s="11">
        <f t="shared" si="538"/>
        <v>275909</v>
      </c>
      <c r="K61" s="11">
        <f t="shared" si="538"/>
        <v>273403</v>
      </c>
      <c r="L61" s="11">
        <f t="shared" si="538"/>
        <v>278492</v>
      </c>
      <c r="M61" s="11">
        <f t="shared" si="538"/>
        <v>299243</v>
      </c>
      <c r="N61" s="11">
        <f t="shared" si="538"/>
        <v>319616</v>
      </c>
      <c r="O61" s="11">
        <f t="shared" ref="O61:Q61" si="539">SUM(O51:O60)</f>
        <v>327095</v>
      </c>
      <c r="P61" s="11">
        <f t="shared" si="539"/>
        <v>335387</v>
      </c>
      <c r="Q61" s="11">
        <f t="shared" si="539"/>
        <v>347403</v>
      </c>
      <c r="R61" s="11">
        <f t="shared" ref="R61:AD61" si="540">SUM(R51:R60)</f>
        <v>359268</v>
      </c>
      <c r="S61" s="11">
        <f t="shared" si="540"/>
        <v>357096</v>
      </c>
      <c r="T61" s="11">
        <f t="shared" si="540"/>
        <v>355185</v>
      </c>
      <c r="U61" s="11">
        <f t="shared" si="540"/>
        <v>358255</v>
      </c>
      <c r="V61" s="11">
        <f t="shared" si="540"/>
        <v>365264</v>
      </c>
      <c r="W61" s="11">
        <f t="shared" si="540"/>
        <v>369491</v>
      </c>
      <c r="X61" s="11">
        <f t="shared" si="540"/>
        <v>383044</v>
      </c>
      <c r="Y61" s="11">
        <f t="shared" si="540"/>
        <v>396711</v>
      </c>
      <c r="Z61" s="11">
        <f t="shared" si="540"/>
        <v>402392</v>
      </c>
      <c r="AA61" s="11">
        <f t="shared" si="540"/>
        <v>407350</v>
      </c>
      <c r="AB61" s="11">
        <f t="shared" si="540"/>
        <v>414770</v>
      </c>
      <c r="AC61" s="11">
        <f t="shared" si="540"/>
        <v>430266</v>
      </c>
      <c r="AD61" s="11">
        <f t="shared" si="540"/>
        <v>450256</v>
      </c>
      <c r="AE61" s="11">
        <f t="shared" ref="AE61:AJ61" si="541">SUM(AE51:AE60)</f>
        <v>475374</v>
      </c>
      <c r="AF61" s="11">
        <f t="shared" si="541"/>
        <v>502053</v>
      </c>
      <c r="AG61" s="11">
        <f t="shared" si="541"/>
        <v>536469</v>
      </c>
      <c r="AH61" s="11">
        <f t="shared" si="541"/>
        <v>595281</v>
      </c>
      <c r="AI61" s="11">
        <f t="shared" si="541"/>
        <v>703919</v>
      </c>
      <c r="AJ61" s="11">
        <f t="shared" si="541"/>
        <v>921983</v>
      </c>
      <c r="AK61" s="11"/>
      <c r="AL61" s="11"/>
      <c r="AM61" s="11"/>
      <c r="AQ61" s="3">
        <f t="shared" ref="AQ61:BH61" si="542">SUM(AQ51:AQ60)</f>
        <v>31767.575000000001</v>
      </c>
      <c r="AR61" s="3">
        <f t="shared" si="542"/>
        <v>40496.777999999998</v>
      </c>
      <c r="AS61" s="3">
        <f t="shared" si="542"/>
        <v>57851</v>
      </c>
      <c r="AT61" s="3">
        <f t="shared" si="542"/>
        <v>72574</v>
      </c>
      <c r="AU61" s="3">
        <f t="shared" si="542"/>
        <v>93798</v>
      </c>
      <c r="AV61" s="3">
        <f t="shared" si="542"/>
        <v>110920</v>
      </c>
      <c r="AW61" s="3">
        <f t="shared" si="542"/>
        <v>129187</v>
      </c>
      <c r="AX61" s="3">
        <f t="shared" si="542"/>
        <v>147461</v>
      </c>
      <c r="AY61" s="3">
        <f t="shared" si="542"/>
        <v>167497</v>
      </c>
      <c r="AZ61" s="3">
        <f t="shared" si="542"/>
        <v>197295</v>
      </c>
      <c r="BA61" s="3">
        <f t="shared" si="542"/>
        <v>232792</v>
      </c>
      <c r="BB61" s="3">
        <f t="shared" si="542"/>
        <v>275909</v>
      </c>
      <c r="BC61" s="3">
        <f t="shared" si="542"/>
        <v>319616</v>
      </c>
      <c r="BD61" s="3">
        <f t="shared" si="542"/>
        <v>359268</v>
      </c>
      <c r="BE61" s="3">
        <f t="shared" si="542"/>
        <v>365264</v>
      </c>
      <c r="BF61" s="3">
        <f t="shared" si="542"/>
        <v>402392</v>
      </c>
      <c r="BG61" s="3">
        <f t="shared" si="542"/>
        <v>450256</v>
      </c>
      <c r="BH61" s="3">
        <f t="shared" si="542"/>
        <v>595281</v>
      </c>
    </row>
    <row r="62" spans="2:70" x14ac:dyDescent="0.2">
      <c r="B62" s="3"/>
      <c r="E62" s="11"/>
      <c r="F62" s="11"/>
      <c r="I62" s="11"/>
      <c r="J62" s="11"/>
      <c r="K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 spans="2:70" x14ac:dyDescent="0.2">
      <c r="B63" s="3" t="s">
        <v>62</v>
      </c>
      <c r="C63" s="11"/>
      <c r="D63" s="11"/>
      <c r="E63" s="11"/>
      <c r="F63" s="11">
        <v>4378</v>
      </c>
      <c r="G63" s="11">
        <v>3710</v>
      </c>
      <c r="H63" s="11">
        <v>3925</v>
      </c>
      <c r="I63" s="11">
        <v>4142</v>
      </c>
      <c r="J63" s="11">
        <v>5561</v>
      </c>
      <c r="K63" s="11">
        <v>4099</v>
      </c>
      <c r="L63" s="11">
        <v>4064</v>
      </c>
      <c r="M63" s="11">
        <v>4391</v>
      </c>
      <c r="N63" s="11">
        <v>5589</v>
      </c>
      <c r="O63" s="11">
        <v>4801</v>
      </c>
      <c r="P63" s="11">
        <v>4708</v>
      </c>
      <c r="Q63" s="11">
        <v>4616</v>
      </c>
      <c r="R63" s="11">
        <v>6037</v>
      </c>
      <c r="S63" s="11">
        <v>3436</v>
      </c>
      <c r="T63" s="11">
        <v>4409</v>
      </c>
      <c r="U63" s="11">
        <v>6303</v>
      </c>
      <c r="V63" s="11">
        <v>5128</v>
      </c>
      <c r="W63" s="11">
        <v>4184</v>
      </c>
      <c r="X63" s="11">
        <v>5313</v>
      </c>
      <c r="Y63" s="11">
        <v>5803</v>
      </c>
      <c r="Z63" s="11">
        <v>7493</v>
      </c>
      <c r="AA63" s="11">
        <v>6198</v>
      </c>
      <c r="AB63" s="11">
        <v>6092</v>
      </c>
      <c r="AC63" s="11">
        <v>7049</v>
      </c>
      <c r="AD63" s="11">
        <v>7987</v>
      </c>
      <c r="AE63" s="11">
        <v>8497</v>
      </c>
      <c r="AF63" s="11">
        <v>8347</v>
      </c>
      <c r="AG63" s="11">
        <v>10546</v>
      </c>
      <c r="AH63" s="11">
        <v>12200</v>
      </c>
      <c r="AI63" s="11">
        <v>16852</v>
      </c>
      <c r="AJ63" s="11">
        <v>20258</v>
      </c>
      <c r="AK63" s="11"/>
      <c r="AL63" s="11"/>
      <c r="AM63" s="11"/>
      <c r="AQ63" s="3">
        <v>178.00399999999999</v>
      </c>
      <c r="AR63" s="3">
        <v>483</v>
      </c>
      <c r="AS63" s="3">
        <v>483</v>
      </c>
      <c r="AT63" s="3">
        <v>588</v>
      </c>
      <c r="AU63" s="3">
        <v>2012</v>
      </c>
      <c r="AV63" s="3">
        <v>2453</v>
      </c>
      <c r="AW63" s="3">
        <v>1715</v>
      </c>
      <c r="AX63" s="3">
        <v>1931</v>
      </c>
      <c r="AY63" s="3">
        <v>2041</v>
      </c>
      <c r="AZ63" s="3">
        <v>3137</v>
      </c>
      <c r="BA63" s="3">
        <f t="shared" ref="BA63:BA72" si="543">+F63</f>
        <v>4378</v>
      </c>
      <c r="BB63" s="3">
        <f t="shared" ref="BB63:BB72" si="544">+J63</f>
        <v>5561</v>
      </c>
      <c r="BC63" s="3">
        <f t="shared" ref="BC63:BC72" si="545">+N63</f>
        <v>5589</v>
      </c>
      <c r="BD63" s="3">
        <f t="shared" ref="BD63:BD72" si="546">+R63</f>
        <v>6037</v>
      </c>
      <c r="BE63" s="3">
        <f t="shared" ref="BE63:BE72" si="547">V63</f>
        <v>5128</v>
      </c>
      <c r="BF63" s="3">
        <f t="shared" ref="BF63:BF72" si="548">+Z63</f>
        <v>7493</v>
      </c>
      <c r="BG63" s="3">
        <f>AD63</f>
        <v>7987</v>
      </c>
      <c r="BH63" s="3">
        <f t="shared" ref="BH63:BH72" si="549">+AH63</f>
        <v>12200</v>
      </c>
    </row>
    <row r="64" spans="2:70" x14ac:dyDescent="0.2">
      <c r="B64" s="3" t="s">
        <v>63</v>
      </c>
      <c r="C64" s="11"/>
      <c r="D64" s="11"/>
      <c r="E64" s="11"/>
      <c r="F64" s="11">
        <v>6839</v>
      </c>
      <c r="G64" s="11">
        <v>5072</v>
      </c>
      <c r="H64" s="11">
        <v>6432</v>
      </c>
      <c r="I64" s="11">
        <v>7399</v>
      </c>
      <c r="J64" s="11">
        <v>8495</v>
      </c>
      <c r="K64" s="11">
        <v>5656</v>
      </c>
      <c r="L64" s="11">
        <v>7127</v>
      </c>
      <c r="M64" s="11">
        <v>8747</v>
      </c>
      <c r="N64" s="11">
        <v>11086</v>
      </c>
      <c r="O64" s="11">
        <v>8375</v>
      </c>
      <c r="P64" s="11">
        <v>10088</v>
      </c>
      <c r="Q64" s="11">
        <v>12170</v>
      </c>
      <c r="R64" s="11">
        <v>13889</v>
      </c>
      <c r="S64" s="11">
        <v>9803</v>
      </c>
      <c r="T64" s="11">
        <v>10852</v>
      </c>
      <c r="U64" s="11">
        <v>12366</v>
      </c>
      <c r="V64" s="11">
        <v>14028</v>
      </c>
      <c r="W64" s="11">
        <v>9954</v>
      </c>
      <c r="X64" s="11">
        <v>11260</v>
      </c>
      <c r="Y64" s="11">
        <v>12562</v>
      </c>
      <c r="Z64" s="11">
        <v>15140</v>
      </c>
      <c r="AA64" s="11">
        <v>9703</v>
      </c>
      <c r="AB64" s="11">
        <v>11373</v>
      </c>
      <c r="AC64" s="11">
        <v>12908</v>
      </c>
      <c r="AD64" s="11">
        <v>15069</v>
      </c>
      <c r="AE64" s="11">
        <v>9984</v>
      </c>
      <c r="AF64" s="11">
        <v>12168</v>
      </c>
      <c r="AG64" s="11">
        <v>13944</v>
      </c>
      <c r="AH64" s="11">
        <v>17546</v>
      </c>
      <c r="AI64" s="11">
        <v>13947</v>
      </c>
      <c r="AJ64" s="11">
        <v>15086</v>
      </c>
      <c r="AK64" s="11"/>
      <c r="AL64" s="11"/>
      <c r="AM64" s="11"/>
      <c r="AQ64" s="3">
        <v>811.64300000000003</v>
      </c>
      <c r="AR64" s="3">
        <v>1410</v>
      </c>
      <c r="AS64" s="3">
        <v>1410</v>
      </c>
      <c r="AT64" s="3">
        <v>1818</v>
      </c>
      <c r="AU64" s="3">
        <v>2239</v>
      </c>
      <c r="AV64" s="3">
        <v>2502</v>
      </c>
      <c r="AW64" s="3">
        <v>3069</v>
      </c>
      <c r="AX64" s="3">
        <v>3539</v>
      </c>
      <c r="AY64" s="3">
        <v>3976</v>
      </c>
      <c r="AZ64" s="3">
        <v>4581</v>
      </c>
      <c r="BA64" s="3">
        <f t="shared" si="543"/>
        <v>6839</v>
      </c>
      <c r="BB64" s="3">
        <f t="shared" si="544"/>
        <v>8495</v>
      </c>
      <c r="BC64" s="3">
        <f t="shared" si="545"/>
        <v>11086</v>
      </c>
      <c r="BD64" s="3">
        <f t="shared" si="546"/>
        <v>13889</v>
      </c>
      <c r="BE64" s="3">
        <f t="shared" si="547"/>
        <v>14028</v>
      </c>
      <c r="BF64" s="3">
        <f t="shared" si="548"/>
        <v>15140</v>
      </c>
      <c r="BG64" s="3">
        <f t="shared" ref="BG64:BG72" si="550">AD64</f>
        <v>15069</v>
      </c>
      <c r="BH64" s="3">
        <f t="shared" si="549"/>
        <v>17546</v>
      </c>
    </row>
    <row r="65" spans="2:60" x14ac:dyDescent="0.2">
      <c r="B65" s="3" t="s">
        <v>64</v>
      </c>
      <c r="C65" s="11"/>
      <c r="D65" s="11"/>
      <c r="E65" s="11"/>
      <c r="F65" s="11">
        <v>16958</v>
      </c>
      <c r="G65" s="11">
        <v>19382</v>
      </c>
      <c r="H65" s="11">
        <v>19823</v>
      </c>
      <c r="I65" s="11">
        <v>21038</v>
      </c>
      <c r="J65" s="11">
        <v>23067</v>
      </c>
      <c r="K65" s="11">
        <v>22601</v>
      </c>
      <c r="L65" s="11">
        <v>24426</v>
      </c>
      <c r="M65" s="11">
        <v>25631</v>
      </c>
      <c r="N65" s="11">
        <v>28631</v>
      </c>
      <c r="O65" s="11">
        <v>30732</v>
      </c>
      <c r="P65" s="11">
        <v>28981</v>
      </c>
      <c r="Q65" s="11">
        <v>30113</v>
      </c>
      <c r="R65" s="11">
        <v>31236</v>
      </c>
      <c r="S65" s="11">
        <v>33051</v>
      </c>
      <c r="T65" s="11">
        <v>32976</v>
      </c>
      <c r="U65" s="11">
        <v>35038</v>
      </c>
      <c r="V65" s="11">
        <v>37866</v>
      </c>
      <c r="W65" s="11">
        <v>43185</v>
      </c>
      <c r="X65" s="11">
        <v>49300</v>
      </c>
      <c r="Y65" s="11">
        <v>55602</v>
      </c>
      <c r="Z65" s="11">
        <v>46168</v>
      </c>
      <c r="AA65" s="11">
        <v>48603</v>
      </c>
      <c r="AB65" s="11">
        <v>47298</v>
      </c>
      <c r="AC65" s="11">
        <v>46585</v>
      </c>
      <c r="AD65" s="11">
        <v>51228</v>
      </c>
      <c r="AE65" s="11">
        <v>58300</v>
      </c>
      <c r="AF65" s="11">
        <v>52039</v>
      </c>
      <c r="AG65" s="11">
        <v>59437</v>
      </c>
      <c r="AH65" s="11">
        <v>55557</v>
      </c>
      <c r="AI65" s="11">
        <v>63019</v>
      </c>
      <c r="AJ65" s="11">
        <v>73014</v>
      </c>
      <c r="AK65" s="11"/>
      <c r="AL65" s="11"/>
      <c r="AM65" s="11"/>
      <c r="AQ65" s="3">
        <v>480.26299999999998</v>
      </c>
      <c r="AR65" s="3">
        <v>961</v>
      </c>
      <c r="AS65" s="3">
        <v>961</v>
      </c>
      <c r="AT65" s="3">
        <v>1370</v>
      </c>
      <c r="AU65" s="3">
        <v>3258</v>
      </c>
      <c r="AV65" s="3">
        <v>3755</v>
      </c>
      <c r="AW65" s="3">
        <v>4408</v>
      </c>
      <c r="AX65" s="3">
        <v>4768</v>
      </c>
      <c r="AY65" s="3">
        <v>6144</v>
      </c>
      <c r="AZ65" s="3">
        <v>10177</v>
      </c>
      <c r="BA65" s="3">
        <f t="shared" si="543"/>
        <v>16958</v>
      </c>
      <c r="BB65" s="3">
        <f t="shared" si="544"/>
        <v>23067</v>
      </c>
      <c r="BC65" s="3">
        <f t="shared" si="545"/>
        <v>28631</v>
      </c>
      <c r="BD65" s="3">
        <f t="shared" si="546"/>
        <v>31236</v>
      </c>
      <c r="BE65" s="3">
        <f t="shared" si="547"/>
        <v>37866</v>
      </c>
      <c r="BF65" s="3">
        <f t="shared" si="548"/>
        <v>46168</v>
      </c>
      <c r="BG65" s="3">
        <f t="shared" si="550"/>
        <v>51228</v>
      </c>
      <c r="BH65" s="3">
        <f t="shared" si="549"/>
        <v>55557</v>
      </c>
    </row>
    <row r="66" spans="2:60" x14ac:dyDescent="0.2">
      <c r="B66" s="3" t="s">
        <v>65</v>
      </c>
      <c r="C66" s="11"/>
      <c r="D66" s="11"/>
      <c r="E66" s="11"/>
      <c r="F66" s="11">
        <v>4592</v>
      </c>
      <c r="G66" s="11">
        <v>4318</v>
      </c>
      <c r="H66" s="11">
        <v>4567</v>
      </c>
      <c r="I66" s="11">
        <v>4835</v>
      </c>
      <c r="J66" s="11">
        <v>5916</v>
      </c>
      <c r="K66" s="11">
        <v>4982</v>
      </c>
      <c r="L66" s="11">
        <v>5005</v>
      </c>
      <c r="M66" s="11">
        <v>6030</v>
      </c>
      <c r="N66" s="11">
        <v>7500</v>
      </c>
      <c r="O66" s="11">
        <v>6962</v>
      </c>
      <c r="P66" s="11">
        <v>7438</v>
      </c>
      <c r="Q66" s="11">
        <v>7745</v>
      </c>
      <c r="R66" s="11">
        <v>8996</v>
      </c>
      <c r="S66" s="11">
        <v>8116</v>
      </c>
      <c r="T66" s="11">
        <v>7889</v>
      </c>
      <c r="U66" s="11">
        <v>7662</v>
      </c>
      <c r="V66" s="11">
        <v>8370</v>
      </c>
      <c r="W66" s="11">
        <v>7816</v>
      </c>
      <c r="X66" s="11">
        <v>7990</v>
      </c>
      <c r="Y66" s="11">
        <v>8025</v>
      </c>
      <c r="Z66" s="11">
        <v>8876</v>
      </c>
      <c r="AA66" s="11">
        <v>8520</v>
      </c>
      <c r="AB66" s="11">
        <v>8899</v>
      </c>
      <c r="AC66" s="11">
        <v>9365</v>
      </c>
      <c r="AD66" s="11">
        <v>9802</v>
      </c>
      <c r="AE66" s="11">
        <v>9965</v>
      </c>
      <c r="AF66" s="11">
        <v>9787</v>
      </c>
      <c r="AG66" s="11">
        <v>10081</v>
      </c>
      <c r="AH66" s="11">
        <v>10864</v>
      </c>
      <c r="AI66" s="11">
        <v>10208</v>
      </c>
      <c r="AJ66" s="11">
        <v>10599</v>
      </c>
      <c r="AK66" s="11"/>
      <c r="AL66" s="11"/>
      <c r="AM66" s="11"/>
      <c r="AQ66" s="3">
        <v>532.54700000000003</v>
      </c>
      <c r="AR66" s="3">
        <v>885</v>
      </c>
      <c r="AS66" s="3">
        <v>885</v>
      </c>
      <c r="AT66" s="3">
        <v>1168</v>
      </c>
      <c r="AU66" s="3">
        <v>1471</v>
      </c>
      <c r="AV66" s="3">
        <v>1729</v>
      </c>
      <c r="AW66" s="3">
        <v>1952</v>
      </c>
      <c r="AX66" s="3">
        <v>2329</v>
      </c>
      <c r="AY66" s="3">
        <v>2942</v>
      </c>
      <c r="AZ66" s="3">
        <v>3975</v>
      </c>
      <c r="BA66" s="3">
        <f t="shared" si="543"/>
        <v>4592</v>
      </c>
      <c r="BB66" s="3">
        <f t="shared" si="544"/>
        <v>5916</v>
      </c>
      <c r="BC66" s="3">
        <f t="shared" si="545"/>
        <v>7500</v>
      </c>
      <c r="BD66" s="3">
        <f t="shared" si="546"/>
        <v>8996</v>
      </c>
      <c r="BE66" s="3">
        <f t="shared" si="547"/>
        <v>8370</v>
      </c>
      <c r="BF66" s="3">
        <f t="shared" si="548"/>
        <v>8876</v>
      </c>
      <c r="BG66" s="3">
        <f t="shared" si="550"/>
        <v>9802</v>
      </c>
      <c r="BH66" s="3">
        <f t="shared" si="549"/>
        <v>10864</v>
      </c>
    </row>
    <row r="67" spans="2:60" x14ac:dyDescent="0.2">
      <c r="B67" s="3" t="s">
        <v>66</v>
      </c>
      <c r="C67" s="11"/>
      <c r="D67" s="11"/>
      <c r="E67" s="11"/>
      <c r="F67" s="11">
        <f>1784+396</f>
        <v>2180</v>
      </c>
      <c r="G67" s="11">
        <f>1667+391</f>
        <v>2058</v>
      </c>
      <c r="H67" s="11">
        <f>1717+387</f>
        <v>2104</v>
      </c>
      <c r="I67" s="11">
        <f>1679+364</f>
        <v>2043</v>
      </c>
      <c r="J67" s="11">
        <f>1908+358</f>
        <v>2266</v>
      </c>
      <c r="K67" s="11">
        <f>1938+350</f>
        <v>2288</v>
      </c>
      <c r="L67" s="11">
        <f>2061+397</f>
        <v>2458</v>
      </c>
      <c r="M67" s="11">
        <f>2302+454</f>
        <v>2756</v>
      </c>
      <c r="N67" s="11">
        <f>2543+481</f>
        <v>3024</v>
      </c>
      <c r="O67" s="11">
        <f>2690+530</f>
        <v>3220</v>
      </c>
      <c r="P67" s="11">
        <f>2715+510</f>
        <v>3225</v>
      </c>
      <c r="Q67" s="11">
        <f>2968+510</f>
        <v>3478</v>
      </c>
      <c r="R67" s="11">
        <f>3288+535</f>
        <v>3823</v>
      </c>
      <c r="S67" s="11">
        <f>3198+499</f>
        <v>3697</v>
      </c>
      <c r="T67" s="11">
        <f>3272+472</f>
        <v>3744</v>
      </c>
      <c r="U67" s="11">
        <f>3585+594</f>
        <v>4179</v>
      </c>
      <c r="V67" s="11">
        <f>3908+599</f>
        <v>4507</v>
      </c>
      <c r="W67" s="11">
        <f>3715+610</f>
        <v>4325</v>
      </c>
      <c r="X67" s="11">
        <f>3846+667</f>
        <v>4513</v>
      </c>
      <c r="Y67" s="11">
        <f>4303+884</f>
        <v>5187</v>
      </c>
      <c r="Z67" s="11">
        <f>911+4137</f>
        <v>5048</v>
      </c>
      <c r="AA67" s="11">
        <f>3973+921</f>
        <v>4894</v>
      </c>
      <c r="AB67" s="11">
        <f>4251+985</f>
        <v>5236</v>
      </c>
      <c r="AC67" s="11">
        <f>4896+1015</f>
        <v>5911</v>
      </c>
      <c r="AD67" s="11">
        <v>5036</v>
      </c>
      <c r="AE67" s="11">
        <v>4908</v>
      </c>
      <c r="AF67" s="11">
        <v>4969</v>
      </c>
      <c r="AG67" s="11">
        <v>5542</v>
      </c>
      <c r="AH67" s="11">
        <v>6578</v>
      </c>
      <c r="AI67" s="11">
        <v>7162</v>
      </c>
      <c r="AJ67" s="11">
        <v>7154</v>
      </c>
      <c r="AK67" s="11"/>
      <c r="AL67" s="11"/>
      <c r="AM67" s="11"/>
      <c r="AQ67" s="3">
        <f>218.084+29.818</f>
        <v>247.90200000000002</v>
      </c>
      <c r="AR67" s="3">
        <f>285+42</f>
        <v>327</v>
      </c>
      <c r="AS67" s="3">
        <f>394+35</f>
        <v>429</v>
      </c>
      <c r="AT67" s="3">
        <f>547+44</f>
        <v>591</v>
      </c>
      <c r="AU67" s="3">
        <f>895+100</f>
        <v>995</v>
      </c>
      <c r="AV67" s="3">
        <f>139+1062</f>
        <v>1201</v>
      </c>
      <c r="AW67" s="3">
        <f>752+104</f>
        <v>856</v>
      </c>
      <c r="AX67" s="3">
        <f>788+151</f>
        <v>939</v>
      </c>
      <c r="AY67" s="3">
        <f>1099+202</f>
        <v>1301</v>
      </c>
      <c r="AZ67" s="3">
        <f>1432+340</f>
        <v>1772</v>
      </c>
      <c r="BA67" s="3">
        <f t="shared" si="543"/>
        <v>2180</v>
      </c>
      <c r="BB67" s="3">
        <f t="shared" si="544"/>
        <v>2266</v>
      </c>
      <c r="BC67" s="3">
        <f t="shared" si="545"/>
        <v>3024</v>
      </c>
      <c r="BD67" s="3">
        <f t="shared" si="546"/>
        <v>3823</v>
      </c>
      <c r="BE67" s="3">
        <f t="shared" si="547"/>
        <v>4507</v>
      </c>
      <c r="BF67" s="3">
        <f t="shared" si="548"/>
        <v>5048</v>
      </c>
      <c r="BG67" s="3">
        <f t="shared" si="550"/>
        <v>5036</v>
      </c>
      <c r="BH67" s="3">
        <f t="shared" si="549"/>
        <v>6578</v>
      </c>
    </row>
    <row r="68" spans="2:60" x14ac:dyDescent="0.2">
      <c r="B68" s="3" t="s">
        <v>30</v>
      </c>
      <c r="C68" s="11"/>
      <c r="D68" s="11"/>
      <c r="E68" s="11"/>
      <c r="F68" s="11">
        <f>69+1264+11327</f>
        <v>12660</v>
      </c>
      <c r="G68" s="11">
        <f>761+11605+1282</f>
        <v>13648</v>
      </c>
      <c r="H68" s="11">
        <f>536+10969+1892</f>
        <v>13397</v>
      </c>
      <c r="I68" s="11">
        <f>131+11355+1747</f>
        <v>13233</v>
      </c>
      <c r="J68" s="11">
        <f>274+9885+1701</f>
        <v>11860</v>
      </c>
      <c r="K68" s="11">
        <f>9207+913+2079</f>
        <v>12199</v>
      </c>
      <c r="L68" s="11">
        <f>975+8599+1797</f>
        <v>11371</v>
      </c>
      <c r="M68" s="11">
        <f>1099+8616+1973</f>
        <v>11688</v>
      </c>
      <c r="N68" s="11">
        <f>1485+8849+3561</f>
        <v>13895</v>
      </c>
      <c r="O68" s="11">
        <f>1893+4406+9278</f>
        <v>15577</v>
      </c>
      <c r="P68" s="11">
        <f>1811+8651+4703</f>
        <v>15165</v>
      </c>
      <c r="Q68" s="11">
        <f>4170+8984+3551</f>
        <v>16705</v>
      </c>
      <c r="R68" s="11">
        <f>808+9176+5257</f>
        <v>15241</v>
      </c>
      <c r="S68" s="11">
        <f>4344+9406+2843</f>
        <v>16593</v>
      </c>
      <c r="T68" s="11">
        <f>1956+8163+924</f>
        <v>11043</v>
      </c>
      <c r="U68" s="11">
        <f>1025+8572+476</f>
        <v>10073</v>
      </c>
      <c r="V68" s="11">
        <f>9258+514</f>
        <v>9772</v>
      </c>
      <c r="W68" s="11">
        <f>9722+542</f>
        <v>10264</v>
      </c>
      <c r="X68" s="11">
        <f>8753+558</f>
        <v>9311</v>
      </c>
      <c r="Y68" s="11">
        <f>8038+528</f>
        <v>8566</v>
      </c>
      <c r="Z68" s="11">
        <f>8474+485</f>
        <v>8959</v>
      </c>
      <c r="AA68" s="11">
        <f>9234+486</f>
        <v>9720</v>
      </c>
      <c r="AB68" s="11">
        <f>7703+717</f>
        <v>8420</v>
      </c>
      <c r="AC68" s="11">
        <f>8219+706</f>
        <v>8925</v>
      </c>
      <c r="AD68" s="11">
        <v>8782</v>
      </c>
      <c r="AE68" s="11">
        <v>9773</v>
      </c>
      <c r="AF68" s="11">
        <v>10027</v>
      </c>
      <c r="AG68" s="11">
        <v>10072</v>
      </c>
      <c r="AH68" s="11">
        <v>9531</v>
      </c>
      <c r="AI68" s="11">
        <v>12457</v>
      </c>
      <c r="AJ68" s="11">
        <f>11306+22819</f>
        <v>34125</v>
      </c>
      <c r="AK68" s="11"/>
      <c r="AL68" s="11"/>
      <c r="AM68" s="11"/>
      <c r="AQ68" s="3">
        <f>81.549+890.115</f>
        <v>971.66399999999999</v>
      </c>
      <c r="AR68" s="3">
        <f>37+1200</f>
        <v>1237</v>
      </c>
      <c r="AS68" s="3">
        <f>37+1200</f>
        <v>1237</v>
      </c>
      <c r="AT68" s="3">
        <f>197+1693+287</f>
        <v>2177</v>
      </c>
      <c r="AU68" s="3">
        <f>240+2046+1872</f>
        <v>4158</v>
      </c>
      <c r="AV68" s="3">
        <f>24+2638+1947</f>
        <v>4609</v>
      </c>
      <c r="AW68" s="3">
        <f>96+3340+758</f>
        <v>4194</v>
      </c>
      <c r="AX68" s="3">
        <f>302+189+3663</f>
        <v>4154</v>
      </c>
      <c r="AY68" s="3">
        <f>554+4677+226</f>
        <v>5457</v>
      </c>
      <c r="AZ68" s="3">
        <f>881+12812+430</f>
        <v>14123</v>
      </c>
      <c r="BA68" s="3">
        <f t="shared" si="543"/>
        <v>12660</v>
      </c>
      <c r="BB68" s="3">
        <f t="shared" si="544"/>
        <v>11860</v>
      </c>
      <c r="BC68" s="3">
        <f t="shared" si="545"/>
        <v>13895</v>
      </c>
      <c r="BD68" s="3">
        <f t="shared" si="546"/>
        <v>15241</v>
      </c>
      <c r="BE68" s="3">
        <f t="shared" si="547"/>
        <v>9772</v>
      </c>
      <c r="BF68" s="3">
        <f t="shared" si="548"/>
        <v>8959</v>
      </c>
      <c r="BG68" s="3">
        <f t="shared" si="550"/>
        <v>8782</v>
      </c>
      <c r="BH68" s="3">
        <f t="shared" si="549"/>
        <v>9531</v>
      </c>
    </row>
    <row r="69" spans="2:60" x14ac:dyDescent="0.2">
      <c r="B69" s="3" t="s">
        <v>4</v>
      </c>
      <c r="C69" s="11"/>
      <c r="D69" s="11"/>
      <c r="E69" s="11"/>
      <c r="F69" s="11">
        <v>4012</v>
      </c>
      <c r="G69" s="11">
        <v>4066</v>
      </c>
      <c r="H69" s="11">
        <v>4074</v>
      </c>
      <c r="I69" s="11">
        <v>4082</v>
      </c>
      <c r="J69" s="11">
        <v>4554</v>
      </c>
      <c r="K69" s="11">
        <v>5016</v>
      </c>
      <c r="L69" s="11">
        <v>4018</v>
      </c>
      <c r="M69" s="11">
        <v>13902</v>
      </c>
      <c r="N69" s="11">
        <v>13932</v>
      </c>
      <c r="O69" s="11">
        <v>13887</v>
      </c>
      <c r="P69" s="11">
        <v>14328</v>
      </c>
      <c r="Q69" s="11">
        <v>14288</v>
      </c>
      <c r="R69" s="11">
        <v>14817</v>
      </c>
      <c r="S69" s="11">
        <v>14791</v>
      </c>
      <c r="T69" s="11">
        <v>14734</v>
      </c>
      <c r="U69" s="11">
        <v>14653</v>
      </c>
      <c r="V69" s="11">
        <v>14701</v>
      </c>
      <c r="W69" s="11">
        <v>13697</v>
      </c>
      <c r="X69" s="11">
        <v>13705</v>
      </c>
      <c r="Y69" s="11">
        <v>13781</v>
      </c>
      <c r="Z69" s="11">
        <f>13253</f>
        <v>13253</v>
      </c>
      <c r="AA69" s="11">
        <v>13228</v>
      </c>
      <c r="AB69" s="11">
        <v>13238</v>
      </c>
      <c r="AC69" s="11">
        <v>12297</v>
      </c>
      <c r="AD69" s="11">
        <v>10883</v>
      </c>
      <c r="AE69" s="11">
        <v>10886</v>
      </c>
      <c r="AF69" s="11">
        <v>23607</v>
      </c>
      <c r="AG69" s="11">
        <v>21607</v>
      </c>
      <c r="AH69" s="11">
        <v>46547</v>
      </c>
      <c r="AI69" s="11">
        <v>77501</v>
      </c>
      <c r="AJ69" s="11">
        <v>98165</v>
      </c>
      <c r="AK69" s="11"/>
      <c r="AL69" s="11"/>
      <c r="AM69" s="11"/>
      <c r="AQ69" s="3">
        <v>0</v>
      </c>
      <c r="AR69" s="3">
        <v>3465</v>
      </c>
      <c r="AS69" s="3">
        <v>3465</v>
      </c>
      <c r="AT69" s="3">
        <f>1218+2986</f>
        <v>4204</v>
      </c>
      <c r="AU69" s="3">
        <f>2549+2988</f>
        <v>5537</v>
      </c>
      <c r="AV69" s="3">
        <f>2236+3009</f>
        <v>5245</v>
      </c>
      <c r="AW69" s="3">
        <f>2009+3228</f>
        <v>5237</v>
      </c>
      <c r="AX69" s="3">
        <f>1995+3225</f>
        <v>5220</v>
      </c>
      <c r="AY69" s="3">
        <v>3935</v>
      </c>
      <c r="AZ69" s="3">
        <v>3969</v>
      </c>
      <c r="BA69" s="3">
        <f t="shared" si="543"/>
        <v>4012</v>
      </c>
      <c r="BB69" s="3">
        <f t="shared" si="544"/>
        <v>4554</v>
      </c>
      <c r="BC69" s="3">
        <f t="shared" si="545"/>
        <v>13932</v>
      </c>
      <c r="BD69" s="3">
        <f t="shared" si="546"/>
        <v>14817</v>
      </c>
      <c r="BE69" s="3">
        <f t="shared" si="547"/>
        <v>14701</v>
      </c>
      <c r="BF69" s="3">
        <f t="shared" si="548"/>
        <v>13253</v>
      </c>
      <c r="BG69" s="3">
        <f t="shared" si="550"/>
        <v>10883</v>
      </c>
      <c r="BH69" s="3">
        <f t="shared" si="549"/>
        <v>46547</v>
      </c>
    </row>
    <row r="70" spans="2:60" x14ac:dyDescent="0.2">
      <c r="B70" s="3" t="s">
        <v>58</v>
      </c>
      <c r="C70" s="11"/>
      <c r="D70" s="11"/>
      <c r="E70" s="11"/>
      <c r="F70" s="11">
        <v>0</v>
      </c>
      <c r="G70" s="11">
        <v>8206</v>
      </c>
      <c r="H70" s="11">
        <v>9088</v>
      </c>
      <c r="I70" s="11">
        <v>9666</v>
      </c>
      <c r="J70" s="11">
        <v>10214</v>
      </c>
      <c r="K70" s="11">
        <v>10476</v>
      </c>
      <c r="L70" s="11">
        <v>10709</v>
      </c>
      <c r="M70" s="11">
        <v>10984</v>
      </c>
      <c r="N70" s="11">
        <v>11146</v>
      </c>
      <c r="O70" s="11">
        <v>11382</v>
      </c>
      <c r="P70" s="11">
        <v>11619</v>
      </c>
      <c r="Q70" s="11">
        <v>11471</v>
      </c>
      <c r="R70" s="11">
        <v>11389</v>
      </c>
      <c r="S70" s="11">
        <v>11363</v>
      </c>
      <c r="T70" s="11">
        <v>11697</v>
      </c>
      <c r="U70" s="11">
        <v>11984</v>
      </c>
      <c r="V70" s="11">
        <v>12501</v>
      </c>
      <c r="W70" s="11">
        <v>12799</v>
      </c>
      <c r="X70" s="11">
        <v>12746</v>
      </c>
      <c r="Y70" s="11">
        <v>12550</v>
      </c>
      <c r="Z70" s="11">
        <v>12460</v>
      </c>
      <c r="AA70" s="11">
        <v>11957</v>
      </c>
      <c r="AB70" s="11">
        <v>11708</v>
      </c>
      <c r="AC70" s="11">
        <v>11654</v>
      </c>
      <c r="AD70" s="11">
        <v>11691</v>
      </c>
      <c r="AE70" s="11">
        <v>11678</v>
      </c>
      <c r="AF70" s="11">
        <v>11952</v>
      </c>
      <c r="AG70" s="11">
        <v>12106</v>
      </c>
      <c r="AH70" s="11">
        <v>12744</v>
      </c>
      <c r="AI70" s="11">
        <v>12983</v>
      </c>
      <c r="AJ70" s="11">
        <v>14591</v>
      </c>
      <c r="AK70" s="11"/>
      <c r="AL70" s="11"/>
      <c r="AM70" s="11"/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f t="shared" si="543"/>
        <v>0</v>
      </c>
      <c r="BB70" s="3">
        <f t="shared" si="544"/>
        <v>10214</v>
      </c>
      <c r="BC70" s="3">
        <f t="shared" si="545"/>
        <v>11146</v>
      </c>
      <c r="BD70" s="3">
        <f t="shared" si="546"/>
        <v>11389</v>
      </c>
      <c r="BE70" s="3">
        <f t="shared" si="547"/>
        <v>12501</v>
      </c>
      <c r="BF70" s="3">
        <f t="shared" si="548"/>
        <v>12460</v>
      </c>
      <c r="BG70" s="3">
        <f t="shared" si="550"/>
        <v>11691</v>
      </c>
      <c r="BH70" s="3">
        <f t="shared" si="549"/>
        <v>12744</v>
      </c>
    </row>
    <row r="71" spans="2:60" x14ac:dyDescent="0.2">
      <c r="B71" s="3" t="s">
        <v>69</v>
      </c>
      <c r="C71" s="11"/>
      <c r="D71" s="11"/>
      <c r="E71" s="11"/>
      <c r="F71" s="11">
        <v>3545</v>
      </c>
      <c r="G71" s="11">
        <v>1417</v>
      </c>
      <c r="H71" s="11">
        <v>1499</v>
      </c>
      <c r="I71" s="11">
        <v>1637</v>
      </c>
      <c r="J71" s="11">
        <v>2534</v>
      </c>
      <c r="K71" s="11">
        <v>2427</v>
      </c>
      <c r="L71" s="11">
        <v>1992</v>
      </c>
      <c r="M71" s="11">
        <v>2194</v>
      </c>
      <c r="N71" s="11">
        <v>2269</v>
      </c>
      <c r="O71" s="11">
        <v>2146</v>
      </c>
      <c r="P71" s="11">
        <v>2270</v>
      </c>
      <c r="Q71" s="11">
        <v>2250</v>
      </c>
      <c r="R71" s="11">
        <v>2205</v>
      </c>
      <c r="S71" s="11">
        <v>2242</v>
      </c>
      <c r="T71" s="11">
        <v>2422</v>
      </c>
      <c r="U71" s="11">
        <v>2371</v>
      </c>
      <c r="V71" s="11">
        <v>2247</v>
      </c>
      <c r="W71" s="11">
        <v>2373</v>
      </c>
      <c r="X71" s="11">
        <v>1765</v>
      </c>
      <c r="Y71" s="11">
        <v>1433</v>
      </c>
      <c r="Z71" s="11">
        <v>1616</v>
      </c>
      <c r="AA71" s="11">
        <v>1683</v>
      </c>
      <c r="AB71" s="11">
        <v>1753</v>
      </c>
      <c r="AC71" s="11">
        <v>1453</v>
      </c>
      <c r="AD71" s="11">
        <v>4694</v>
      </c>
      <c r="AE71" s="11">
        <v>6116</v>
      </c>
      <c r="AF71" s="11">
        <v>6241</v>
      </c>
      <c r="AG71" s="11">
        <v>6267</v>
      </c>
      <c r="AH71" s="11">
        <v>8449</v>
      </c>
      <c r="AI71" s="11">
        <v>11044</v>
      </c>
      <c r="AJ71" s="11">
        <v>8511</v>
      </c>
      <c r="AK71" s="11"/>
      <c r="AL71" s="11"/>
      <c r="AM71" s="11"/>
      <c r="AQ71" s="3">
        <f>294.175+12.515</f>
        <v>306.69</v>
      </c>
      <c r="AR71" s="3">
        <v>312</v>
      </c>
      <c r="AS71" s="3">
        <f>379+2361</f>
        <v>2740</v>
      </c>
      <c r="AT71" s="3">
        <f>506+2007</f>
        <v>2513</v>
      </c>
      <c r="AU71" s="3">
        <f>740+1673</f>
        <v>2413</v>
      </c>
      <c r="AV71" s="3">
        <f>1374+743</f>
        <v>2117</v>
      </c>
      <c r="AW71" s="3">
        <f>2778+1118</f>
        <v>3896</v>
      </c>
      <c r="AX71" s="3">
        <f>1822+2428</f>
        <v>4250</v>
      </c>
      <c r="AY71" s="3">
        <v>2665</v>
      </c>
      <c r="AZ71" s="3">
        <v>3059</v>
      </c>
      <c r="BA71" s="3">
        <f t="shared" si="543"/>
        <v>3545</v>
      </c>
      <c r="BB71" s="3">
        <f t="shared" si="544"/>
        <v>2534</v>
      </c>
      <c r="BC71" s="3">
        <f t="shared" si="545"/>
        <v>2269</v>
      </c>
      <c r="BD71" s="3">
        <f t="shared" si="546"/>
        <v>2205</v>
      </c>
      <c r="BE71" s="3">
        <f t="shared" si="547"/>
        <v>2247</v>
      </c>
      <c r="BF71" s="3">
        <f t="shared" si="548"/>
        <v>1616</v>
      </c>
      <c r="BG71" s="3">
        <f t="shared" si="550"/>
        <v>4694</v>
      </c>
      <c r="BH71" s="3">
        <f t="shared" si="549"/>
        <v>8449</v>
      </c>
    </row>
    <row r="72" spans="2:60" x14ac:dyDescent="0.2">
      <c r="B72" s="3" t="s">
        <v>68</v>
      </c>
      <c r="C72" s="11"/>
      <c r="D72" s="11"/>
      <c r="E72" s="11"/>
      <c r="F72" s="11">
        <v>177628</v>
      </c>
      <c r="G72" s="11">
        <v>183472</v>
      </c>
      <c r="H72" s="11">
        <v>192192</v>
      </c>
      <c r="I72" s="11">
        <v>194969</v>
      </c>
      <c r="J72" s="11">
        <v>201442</v>
      </c>
      <c r="K72" s="11">
        <v>203659</v>
      </c>
      <c r="L72" s="11">
        <v>207322</v>
      </c>
      <c r="M72" s="11">
        <v>212920</v>
      </c>
      <c r="N72" s="11">
        <v>222544</v>
      </c>
      <c r="O72" s="11">
        <v>230013</v>
      </c>
      <c r="P72" s="11">
        <v>237565</v>
      </c>
      <c r="Q72" s="11">
        <v>244567</v>
      </c>
      <c r="R72" s="11">
        <v>251635</v>
      </c>
      <c r="S72" s="11">
        <v>254004</v>
      </c>
      <c r="T72" s="11">
        <v>255419</v>
      </c>
      <c r="U72" s="11">
        <v>253626</v>
      </c>
      <c r="V72" s="11">
        <v>256144</v>
      </c>
      <c r="W72" s="11">
        <v>260894</v>
      </c>
      <c r="X72" s="11">
        <v>267141</v>
      </c>
      <c r="Y72" s="11">
        <v>273202</v>
      </c>
      <c r="Z72" s="11">
        <v>283379</v>
      </c>
      <c r="AA72" s="11">
        <v>292844</v>
      </c>
      <c r="AB72" s="11">
        <v>300753</v>
      </c>
      <c r="AC72" s="11">
        <v>314119</v>
      </c>
      <c r="AD72" s="11">
        <v>325084</v>
      </c>
      <c r="AE72" s="11">
        <v>345267</v>
      </c>
      <c r="AF72" s="11">
        <v>362916</v>
      </c>
      <c r="AG72" s="11">
        <v>386867</v>
      </c>
      <c r="AH72" s="11">
        <v>415265</v>
      </c>
      <c r="AI72" s="11">
        <v>478746</v>
      </c>
      <c r="AJ72" s="11">
        <v>640480</v>
      </c>
      <c r="AK72" s="11"/>
      <c r="AL72" s="11"/>
      <c r="AM72" s="11"/>
      <c r="AQ72" s="3">
        <v>28238.862000000001</v>
      </c>
      <c r="AR72" s="3">
        <v>36004</v>
      </c>
      <c r="AS72" s="3">
        <v>46241</v>
      </c>
      <c r="AT72" s="3">
        <v>58145</v>
      </c>
      <c r="AU72" s="3">
        <v>71715</v>
      </c>
      <c r="AV72" s="3">
        <v>87309</v>
      </c>
      <c r="AW72" s="3">
        <v>103860</v>
      </c>
      <c r="AX72" s="3">
        <v>120331</v>
      </c>
      <c r="AY72" s="3">
        <v>139036</v>
      </c>
      <c r="AZ72" s="3">
        <v>152502</v>
      </c>
      <c r="BA72" s="3">
        <f t="shared" si="543"/>
        <v>177628</v>
      </c>
      <c r="BB72" s="3">
        <f t="shared" si="544"/>
        <v>201442</v>
      </c>
      <c r="BC72" s="3">
        <f t="shared" si="545"/>
        <v>222544</v>
      </c>
      <c r="BD72" s="3">
        <f t="shared" si="546"/>
        <v>251635</v>
      </c>
      <c r="BE72" s="3">
        <f t="shared" si="547"/>
        <v>256144</v>
      </c>
      <c r="BF72" s="3">
        <f t="shared" si="548"/>
        <v>283379</v>
      </c>
      <c r="BG72" s="3">
        <f t="shared" si="550"/>
        <v>325084</v>
      </c>
      <c r="BH72" s="3">
        <f t="shared" si="549"/>
        <v>415265</v>
      </c>
    </row>
    <row r="73" spans="2:60" x14ac:dyDescent="0.2">
      <c r="B73" s="3" t="s">
        <v>67</v>
      </c>
      <c r="C73" s="11"/>
      <c r="D73" s="11"/>
      <c r="E73" s="11"/>
      <c r="F73" s="11">
        <f t="shared" ref="F73:N73" si="551">SUM(F63:F72)</f>
        <v>232792</v>
      </c>
      <c r="G73" s="11">
        <f t="shared" si="551"/>
        <v>245349</v>
      </c>
      <c r="H73" s="11">
        <f t="shared" si="551"/>
        <v>257101</v>
      </c>
      <c r="I73" s="11">
        <f t="shared" si="551"/>
        <v>263044</v>
      </c>
      <c r="J73" s="11">
        <f t="shared" si="551"/>
        <v>275909</v>
      </c>
      <c r="K73" s="11">
        <f t="shared" si="551"/>
        <v>273403</v>
      </c>
      <c r="L73" s="11">
        <f t="shared" si="551"/>
        <v>278492</v>
      </c>
      <c r="M73" s="11">
        <f t="shared" si="551"/>
        <v>299243</v>
      </c>
      <c r="N73" s="11">
        <f t="shared" si="551"/>
        <v>319616</v>
      </c>
      <c r="O73" s="11">
        <f t="shared" ref="O73:Q73" si="552">SUM(O63:O72)</f>
        <v>327095</v>
      </c>
      <c r="P73" s="11">
        <f t="shared" si="552"/>
        <v>335387</v>
      </c>
      <c r="Q73" s="11">
        <f t="shared" si="552"/>
        <v>347403</v>
      </c>
      <c r="R73" s="11">
        <f t="shared" ref="R73:AH73" si="553">SUM(R63:R72)</f>
        <v>359268</v>
      </c>
      <c r="S73" s="11">
        <f t="shared" si="553"/>
        <v>357096</v>
      </c>
      <c r="T73" s="11">
        <f t="shared" si="553"/>
        <v>355185</v>
      </c>
      <c r="U73" s="11">
        <f t="shared" si="553"/>
        <v>358255</v>
      </c>
      <c r="V73" s="11">
        <f t="shared" si="553"/>
        <v>365264</v>
      </c>
      <c r="W73" s="11">
        <f t="shared" si="553"/>
        <v>369491</v>
      </c>
      <c r="X73" s="11">
        <f t="shared" si="553"/>
        <v>383044</v>
      </c>
      <c r="Y73" s="11">
        <f t="shared" si="553"/>
        <v>396711</v>
      </c>
      <c r="Z73" s="11">
        <f t="shared" si="553"/>
        <v>402392</v>
      </c>
      <c r="AA73" s="11">
        <f t="shared" si="553"/>
        <v>407350</v>
      </c>
      <c r="AB73" s="11">
        <f t="shared" si="553"/>
        <v>414770</v>
      </c>
      <c r="AC73" s="11">
        <f t="shared" si="553"/>
        <v>430266</v>
      </c>
      <c r="AD73" s="11">
        <f t="shared" si="553"/>
        <v>450256</v>
      </c>
      <c r="AE73" s="11">
        <f t="shared" si="553"/>
        <v>475374</v>
      </c>
      <c r="AF73" s="11">
        <f t="shared" si="553"/>
        <v>502053</v>
      </c>
      <c r="AG73" s="11">
        <f t="shared" si="553"/>
        <v>536469</v>
      </c>
      <c r="AH73" s="11">
        <f t="shared" si="553"/>
        <v>595281</v>
      </c>
      <c r="AI73" s="11">
        <f t="shared" ref="AI73:AJ73" si="554">SUM(AI63:AI72)</f>
        <v>703919</v>
      </c>
      <c r="AJ73" s="11">
        <f t="shared" si="554"/>
        <v>921983</v>
      </c>
      <c r="AK73" s="11"/>
      <c r="AL73" s="11"/>
      <c r="AM73" s="11"/>
      <c r="AQ73" s="3">
        <f t="shared" ref="AQ73:AS73" si="555">SUM(AQ63:AQ72)</f>
        <v>31767.575000000001</v>
      </c>
      <c r="AR73" s="3">
        <f t="shared" si="555"/>
        <v>45084</v>
      </c>
      <c r="AS73" s="3">
        <f t="shared" si="555"/>
        <v>57851</v>
      </c>
      <c r="AT73" s="3">
        <f t="shared" ref="AT73:BH73" si="556">SUM(AT63:AT72)</f>
        <v>72574</v>
      </c>
      <c r="AU73" s="3">
        <f t="shared" si="556"/>
        <v>93798</v>
      </c>
      <c r="AV73" s="3">
        <f t="shared" si="556"/>
        <v>110920</v>
      </c>
      <c r="AW73" s="3">
        <f t="shared" si="556"/>
        <v>129187</v>
      </c>
      <c r="AX73" s="3">
        <f t="shared" si="556"/>
        <v>147461</v>
      </c>
      <c r="AY73" s="3">
        <f t="shared" si="556"/>
        <v>167497</v>
      </c>
      <c r="AZ73" s="3">
        <f t="shared" si="556"/>
        <v>197295</v>
      </c>
      <c r="BA73" s="3">
        <f t="shared" si="556"/>
        <v>232792</v>
      </c>
      <c r="BB73" s="3">
        <f t="shared" si="556"/>
        <v>275909</v>
      </c>
      <c r="BC73" s="3">
        <f t="shared" si="556"/>
        <v>319616</v>
      </c>
      <c r="BD73" s="3">
        <f t="shared" si="556"/>
        <v>359268</v>
      </c>
      <c r="BE73" s="3">
        <f t="shared" si="556"/>
        <v>365264</v>
      </c>
      <c r="BF73" s="3">
        <f t="shared" si="556"/>
        <v>402392</v>
      </c>
      <c r="BG73" s="3">
        <f t="shared" si="556"/>
        <v>450256</v>
      </c>
      <c r="BH73" s="3">
        <f t="shared" si="556"/>
        <v>595281</v>
      </c>
    </row>
    <row r="74" spans="2:60" x14ac:dyDescent="0.2">
      <c r="E74" s="11"/>
      <c r="F74" s="11"/>
      <c r="I74" s="11"/>
      <c r="J74" s="11"/>
      <c r="K74" s="11"/>
    </row>
    <row r="75" spans="2:60" s="3" customFormat="1" x14ac:dyDescent="0.2">
      <c r="B75" s="3" t="s">
        <v>82</v>
      </c>
      <c r="C75" s="11">
        <f t="shared" ref="C75:AJ75" si="557">+C31</f>
        <v>6370</v>
      </c>
      <c r="D75" s="11">
        <f t="shared" si="557"/>
        <v>7204</v>
      </c>
      <c r="E75" s="11">
        <f t="shared" si="557"/>
        <v>7810</v>
      </c>
      <c r="F75" s="11">
        <f t="shared" si="557"/>
        <v>7696</v>
      </c>
      <c r="G75" s="11">
        <f t="shared" si="557"/>
        <v>7271</v>
      </c>
      <c r="H75" s="11">
        <f t="shared" si="557"/>
        <v>7248</v>
      </c>
      <c r="I75" s="11">
        <f t="shared" si="557"/>
        <v>8596</v>
      </c>
      <c r="J75" s="11">
        <f t="shared" si="557"/>
        <v>10276</v>
      </c>
      <c r="K75" s="11">
        <f t="shared" si="557"/>
        <v>6022</v>
      </c>
      <c r="L75" s="11">
        <f t="shared" si="557"/>
        <v>6959</v>
      </c>
      <c r="M75" s="11">
        <f t="shared" si="557"/>
        <v>9348</v>
      </c>
      <c r="N75" s="11">
        <f t="shared" si="557"/>
        <v>15227</v>
      </c>
      <c r="O75" s="11">
        <f t="shared" si="557"/>
        <v>17930</v>
      </c>
      <c r="P75" s="11">
        <f t="shared" si="557"/>
        <v>18165</v>
      </c>
      <c r="Q75" s="11">
        <f t="shared" si="557"/>
        <v>18936</v>
      </c>
      <c r="R75" s="11">
        <f t="shared" si="557"/>
        <v>20642</v>
      </c>
      <c r="S75" s="11">
        <f t="shared" si="557"/>
        <v>16436</v>
      </c>
      <c r="T75" s="11">
        <f t="shared" si="557"/>
        <v>16002</v>
      </c>
      <c r="U75" s="11">
        <f t="shared" si="557"/>
        <v>13910</v>
      </c>
      <c r="V75" s="11">
        <f t="shared" si="557"/>
        <v>13624</v>
      </c>
      <c r="W75" s="11">
        <f t="shared" si="557"/>
        <v>15051</v>
      </c>
      <c r="X75" s="11">
        <f t="shared" si="557"/>
        <v>18573</v>
      </c>
      <c r="Y75" s="11">
        <f t="shared" si="557"/>
        <v>19689</v>
      </c>
      <c r="Z75" s="11">
        <f t="shared" si="557"/>
        <v>20216</v>
      </c>
      <c r="AA75" s="11">
        <f t="shared" si="557"/>
        <v>21419</v>
      </c>
      <c r="AB75" s="11">
        <f t="shared" si="557"/>
        <v>24333</v>
      </c>
      <c r="AC75" s="11">
        <f t="shared" si="557"/>
        <v>24480</v>
      </c>
      <c r="AD75" s="11">
        <f t="shared" si="557"/>
        <v>26172</v>
      </c>
      <c r="AE75" s="11">
        <f t="shared" si="557"/>
        <v>25839.85</v>
      </c>
      <c r="AF75" s="11">
        <f t="shared" si="557"/>
        <v>26910</v>
      </c>
      <c r="AG75" s="11">
        <f t="shared" si="557"/>
        <v>24245</v>
      </c>
      <c r="AH75" s="11">
        <f t="shared" si="557"/>
        <v>32153</v>
      </c>
      <c r="AI75" s="11">
        <f t="shared" si="557"/>
        <v>25663</v>
      </c>
      <c r="AJ75" s="11">
        <f t="shared" si="557"/>
        <v>29791.5</v>
      </c>
      <c r="AK75" s="11"/>
      <c r="AL75" s="11"/>
      <c r="AM75" s="11"/>
      <c r="AQ75" s="3">
        <f t="shared" ref="AQ75:AS75" si="558">AQ31</f>
        <v>5322</v>
      </c>
      <c r="AR75" s="3">
        <f t="shared" si="558"/>
        <v>6520</v>
      </c>
      <c r="AS75" s="3">
        <f t="shared" si="558"/>
        <v>8505</v>
      </c>
      <c r="AT75" s="3">
        <f t="shared" ref="AT75:BA75" si="559">AT31</f>
        <v>10237</v>
      </c>
      <c r="AU75" s="3">
        <f t="shared" si="559"/>
        <v>11553</v>
      </c>
      <c r="AV75" s="3">
        <f t="shared" si="559"/>
        <v>13160</v>
      </c>
      <c r="AW75" s="3">
        <f t="shared" si="559"/>
        <v>13620</v>
      </c>
      <c r="AX75" s="3">
        <f t="shared" si="559"/>
        <v>16348</v>
      </c>
      <c r="AY75" s="3">
        <f t="shared" si="559"/>
        <v>19478</v>
      </c>
      <c r="AZ75" s="3">
        <f t="shared" si="559"/>
        <v>15398</v>
      </c>
      <c r="BA75" s="3">
        <f t="shared" si="559"/>
        <v>27877</v>
      </c>
      <c r="BB75" s="3">
        <f>SUM(G75:J75)</f>
        <v>33391</v>
      </c>
      <c r="BC75" s="3">
        <f t="shared" ref="BC75:BC83" si="560">SUM(K75:N75)</f>
        <v>37556</v>
      </c>
      <c r="BD75" s="3">
        <f>SUM(R75:U75)</f>
        <v>66990</v>
      </c>
      <c r="BE75" s="3">
        <f>SUM(S75:V75)</f>
        <v>59972</v>
      </c>
      <c r="BF75" s="3">
        <f>SUM(W75:Z75)</f>
        <v>73529</v>
      </c>
      <c r="BG75" s="3">
        <f>SUM(AA75:AD75)</f>
        <v>96404</v>
      </c>
      <c r="BH75" s="3">
        <f>SUM(AE75:AH75)</f>
        <v>109147.85</v>
      </c>
    </row>
    <row r="76" spans="2:60" s="3" customFormat="1" x14ac:dyDescent="0.2">
      <c r="B76" s="3" t="s">
        <v>83</v>
      </c>
      <c r="C76" s="11">
        <v>9401</v>
      </c>
      <c r="D76" s="11">
        <f>12596-C76</f>
        <v>3195</v>
      </c>
      <c r="E76" s="11">
        <f>23672-D76-C76</f>
        <v>11076</v>
      </c>
      <c r="F76" s="11">
        <v>8948</v>
      </c>
      <c r="G76" s="11">
        <v>6657</v>
      </c>
      <c r="H76" s="11">
        <f>16604-G76</f>
        <v>9947</v>
      </c>
      <c r="I76" s="11">
        <f>23672-H76-G76</f>
        <v>7068</v>
      </c>
      <c r="J76" s="11">
        <v>10671</v>
      </c>
      <c r="K76" s="11">
        <v>6836</v>
      </c>
      <c r="L76" s="11">
        <f>13795-K76</f>
        <v>6959</v>
      </c>
      <c r="M76" s="11">
        <f>25042-L76-K76</f>
        <v>11247</v>
      </c>
      <c r="N76" s="11">
        <f>40269-M76-L76-K76</f>
        <v>15227</v>
      </c>
      <c r="O76" s="11">
        <v>17930</v>
      </c>
      <c r="P76" s="11">
        <f>36455-O76</f>
        <v>18525</v>
      </c>
      <c r="Q76" s="11">
        <f>55391-P76-O76</f>
        <v>18936</v>
      </c>
      <c r="R76" s="11">
        <v>20642</v>
      </c>
      <c r="S76" s="11">
        <v>16436</v>
      </c>
      <c r="T76" s="11">
        <v>16002</v>
      </c>
      <c r="U76" s="11">
        <v>13910</v>
      </c>
      <c r="V76" s="11">
        <v>13624</v>
      </c>
      <c r="W76" s="11">
        <v>15051</v>
      </c>
      <c r="X76" s="11">
        <v>18368</v>
      </c>
      <c r="Y76" s="11">
        <v>19689</v>
      </c>
      <c r="Z76" s="11">
        <v>20687</v>
      </c>
      <c r="AA76" s="11">
        <v>23662</v>
      </c>
      <c r="AB76" s="11">
        <f>47281-AA76</f>
        <v>23619</v>
      </c>
      <c r="AC76" s="11">
        <f>73582-AB76-AA76</f>
        <v>26301</v>
      </c>
      <c r="AD76" s="11">
        <f>100118-AC76-AB76-AA76</f>
        <v>26536</v>
      </c>
      <c r="AE76" s="11">
        <v>34540</v>
      </c>
      <c r="AF76" s="11">
        <v>28196</v>
      </c>
      <c r="AG76" s="11">
        <v>34979</v>
      </c>
      <c r="AH76" s="11">
        <v>34455</v>
      </c>
      <c r="AI76" s="11">
        <v>62578</v>
      </c>
      <c r="AJ76" s="11">
        <f>174771-AI76</f>
        <v>112193</v>
      </c>
      <c r="AK76" s="11"/>
      <c r="AL76" s="11"/>
      <c r="AM76" s="11"/>
      <c r="AQ76" s="3">
        <v>4227</v>
      </c>
      <c r="AR76" s="3">
        <v>6520</v>
      </c>
      <c r="AS76" s="3">
        <v>8505</v>
      </c>
      <c r="AT76" s="3">
        <v>9737</v>
      </c>
      <c r="AU76" s="3">
        <v>10737</v>
      </c>
      <c r="AV76" s="3">
        <v>12733</v>
      </c>
      <c r="AW76" s="3">
        <v>14136</v>
      </c>
      <c r="AX76" s="3">
        <v>16348</v>
      </c>
      <c r="AY76" s="3">
        <v>19478</v>
      </c>
      <c r="AZ76" s="3">
        <v>12662</v>
      </c>
      <c r="BA76" s="3">
        <v>30736</v>
      </c>
      <c r="BB76" s="3">
        <f t="shared" ref="BB76:BB83" si="561">SUM(G76:J76)</f>
        <v>34343</v>
      </c>
      <c r="BC76" s="3">
        <f t="shared" si="560"/>
        <v>40269</v>
      </c>
      <c r="BD76" s="3">
        <f>SUM(O76:R76)</f>
        <v>76033</v>
      </c>
      <c r="BE76" s="3">
        <f t="shared" ref="BE76:BE83" si="562">SUM(S76:V76)</f>
        <v>59972</v>
      </c>
      <c r="BF76" s="3">
        <f t="shared" ref="BF76:BF83" si="563">SUM(W76:Z76)</f>
        <v>73795</v>
      </c>
      <c r="BG76" s="3">
        <f>SUM(AA76:AD76)</f>
        <v>100118</v>
      </c>
      <c r="BH76" s="3">
        <f t="shared" ref="BH76:BH83" si="564">SUM(AE76:AH76)</f>
        <v>132170</v>
      </c>
    </row>
    <row r="77" spans="2:60" s="3" customFormat="1" x14ac:dyDescent="0.2">
      <c r="B77" s="3" t="s">
        <v>84</v>
      </c>
      <c r="C77" s="11">
        <v>1791</v>
      </c>
      <c r="D77" s="11">
        <f>3653-C77</f>
        <v>1862</v>
      </c>
      <c r="E77" s="11">
        <f>7774-D77-C77</f>
        <v>4121</v>
      </c>
      <c r="F77" s="11">
        <v>2373</v>
      </c>
      <c r="G77" s="11">
        <v>2416</v>
      </c>
      <c r="H77" s="11">
        <f>5042-G77</f>
        <v>2626</v>
      </c>
      <c r="I77" s="11">
        <f>7774-H77-G77</f>
        <v>2732</v>
      </c>
      <c r="J77" s="11">
        <v>3082</v>
      </c>
      <c r="K77" s="11">
        <v>2899</v>
      </c>
      <c r="L77" s="11">
        <f>6077-K77</f>
        <v>3178</v>
      </c>
      <c r="M77" s="11">
        <f>9366-L77-K77</f>
        <v>3289</v>
      </c>
      <c r="N77" s="11">
        <f>12905-M77-L77-K77</f>
        <v>3539</v>
      </c>
      <c r="O77" s="11">
        <v>2525</v>
      </c>
      <c r="P77" s="11">
        <f>5255-O77</f>
        <v>2730</v>
      </c>
      <c r="Q77" s="11">
        <f>8340-P77-O77</f>
        <v>3085</v>
      </c>
      <c r="R77" s="11">
        <v>3215</v>
      </c>
      <c r="S77" s="11">
        <v>3591</v>
      </c>
      <c r="T77" s="11">
        <v>3698</v>
      </c>
      <c r="U77" s="11">
        <v>3933</v>
      </c>
      <c r="V77" s="11">
        <v>4065</v>
      </c>
      <c r="W77" s="11">
        <v>3060</v>
      </c>
      <c r="X77" s="11">
        <f>6339-W77</f>
        <v>3279</v>
      </c>
      <c r="Y77" s="11">
        <v>3671</v>
      </c>
      <c r="Z77" s="11">
        <v>3316</v>
      </c>
      <c r="AA77" s="11">
        <v>3413</v>
      </c>
      <c r="AB77" s="11">
        <f>7121-AA77</f>
        <v>3708</v>
      </c>
      <c r="AC77" s="11">
        <f>11106-AB77-AA77</f>
        <v>3985</v>
      </c>
      <c r="AD77" s="11">
        <f>15311-AC77-AB77-AA77</f>
        <v>4205</v>
      </c>
      <c r="AE77" s="11">
        <v>4487</v>
      </c>
      <c r="AF77" s="11">
        <v>4998</v>
      </c>
      <c r="AG77" s="11">
        <v>5611</v>
      </c>
      <c r="AH77" s="11">
        <v>6040</v>
      </c>
      <c r="AI77" s="11">
        <v>6482</v>
      </c>
      <c r="AJ77" s="11">
        <f>13586-AI77</f>
        <v>7104</v>
      </c>
      <c r="AK77" s="11"/>
      <c r="AL77" s="11"/>
      <c r="AM77" s="11"/>
      <c r="AQ77" s="3">
        <v>1212</v>
      </c>
      <c r="AR77" s="3">
        <v>1240</v>
      </c>
      <c r="AS77" s="3">
        <v>1067</v>
      </c>
      <c r="AT77" s="3">
        <v>1396</v>
      </c>
      <c r="AU77" s="3">
        <v>1988</v>
      </c>
      <c r="AV77" s="3">
        <v>2781</v>
      </c>
      <c r="AW77" s="3">
        <v>3523</v>
      </c>
      <c r="AX77" s="3">
        <v>4132</v>
      </c>
      <c r="AY77" s="3">
        <v>5267</v>
      </c>
      <c r="AZ77" s="3">
        <v>6103</v>
      </c>
      <c r="BA77" s="3">
        <v>8164</v>
      </c>
      <c r="BB77" s="3">
        <f t="shared" si="561"/>
        <v>10856</v>
      </c>
      <c r="BC77" s="3">
        <f t="shared" si="560"/>
        <v>12905</v>
      </c>
      <c r="BD77" s="3">
        <f t="shared" ref="BD77:BD83" si="565">SUM(O77:R77)</f>
        <v>11555</v>
      </c>
      <c r="BE77" s="3">
        <f t="shared" si="562"/>
        <v>15287</v>
      </c>
      <c r="BF77" s="3">
        <f t="shared" si="563"/>
        <v>13326</v>
      </c>
      <c r="BG77" s="3">
        <f t="shared" ref="BG77:BG83" si="566">SUM(AA77:AD77)</f>
        <v>15311</v>
      </c>
      <c r="BH77" s="3">
        <f t="shared" si="564"/>
        <v>21136</v>
      </c>
    </row>
    <row r="78" spans="2:60" s="3" customFormat="1" x14ac:dyDescent="0.2">
      <c r="B78" s="3" t="s">
        <v>85</v>
      </c>
      <c r="C78" s="11">
        <v>195</v>
      </c>
      <c r="D78" s="11">
        <f>447-C78</f>
        <v>252</v>
      </c>
      <c r="E78" s="11">
        <f>594-D78-C78</f>
        <v>147</v>
      </c>
      <c r="F78" s="11">
        <v>207</v>
      </c>
      <c r="G78" s="11">
        <v>197</v>
      </c>
      <c r="H78" s="11">
        <f>406-G78</f>
        <v>209</v>
      </c>
      <c r="I78" s="11">
        <f>594-H78-G78</f>
        <v>188</v>
      </c>
      <c r="J78" s="11">
        <v>331</v>
      </c>
      <c r="K78" s="11">
        <v>209</v>
      </c>
      <c r="L78" s="11">
        <f>417-K78</f>
        <v>208</v>
      </c>
      <c r="M78" s="11">
        <f>606-L78-K78</f>
        <v>189</v>
      </c>
      <c r="N78" s="11">
        <f>792-M78-L78-K78</f>
        <v>186</v>
      </c>
      <c r="O78" s="11">
        <v>228</v>
      </c>
      <c r="P78" s="11">
        <f>443-O78</f>
        <v>215</v>
      </c>
      <c r="Q78" s="11">
        <f>662-P78-O78</f>
        <v>219</v>
      </c>
      <c r="R78" s="11">
        <v>224</v>
      </c>
      <c r="S78" s="11">
        <v>191</v>
      </c>
      <c r="T78" s="11">
        <v>201</v>
      </c>
      <c r="U78" s="11">
        <v>113</v>
      </c>
      <c r="V78" s="11">
        <v>136</v>
      </c>
      <c r="W78" s="11">
        <v>126</v>
      </c>
      <c r="X78" s="11">
        <f>244-W78</f>
        <v>118</v>
      </c>
      <c r="Y78" s="11">
        <v>129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/>
      <c r="AL78" s="11"/>
      <c r="AM78" s="11"/>
      <c r="AQ78" s="3">
        <v>288</v>
      </c>
      <c r="AR78" s="3">
        <v>284</v>
      </c>
      <c r="AS78" s="3">
        <v>329</v>
      </c>
      <c r="AT78" s="3">
        <v>455</v>
      </c>
      <c r="AU78" s="3">
        <v>974</v>
      </c>
      <c r="AV78" s="3">
        <v>1158</v>
      </c>
      <c r="AW78" s="3">
        <v>1456</v>
      </c>
      <c r="AX78" s="3">
        <v>931</v>
      </c>
      <c r="AY78" s="3">
        <v>877</v>
      </c>
      <c r="AZ78" s="3">
        <v>812</v>
      </c>
      <c r="BA78" s="3">
        <v>871</v>
      </c>
      <c r="BB78" s="3">
        <f t="shared" si="561"/>
        <v>925</v>
      </c>
      <c r="BC78" s="3">
        <f t="shared" si="560"/>
        <v>792</v>
      </c>
      <c r="BD78" s="3">
        <f t="shared" si="565"/>
        <v>886</v>
      </c>
      <c r="BE78" s="3">
        <f t="shared" si="562"/>
        <v>641</v>
      </c>
      <c r="BF78" s="3">
        <f t="shared" si="563"/>
        <v>373</v>
      </c>
      <c r="BG78" s="3">
        <f t="shared" si="566"/>
        <v>0</v>
      </c>
      <c r="BH78" s="3">
        <f t="shared" si="564"/>
        <v>0</v>
      </c>
    </row>
    <row r="79" spans="2:60" s="3" customFormat="1" x14ac:dyDescent="0.2">
      <c r="B79" s="3" t="s">
        <v>86</v>
      </c>
      <c r="C79" s="11">
        <v>2457</v>
      </c>
      <c r="D79" s="11">
        <f>4870-C79</f>
        <v>2413</v>
      </c>
      <c r="E79" s="11">
        <f>8149-D79-C79</f>
        <v>3279</v>
      </c>
      <c r="F79" s="11">
        <v>2253</v>
      </c>
      <c r="G79" s="11">
        <v>2769</v>
      </c>
      <c r="H79" s="11">
        <f>5525-G79</f>
        <v>2756</v>
      </c>
      <c r="I79" s="11">
        <f>8149-H79-G79</f>
        <v>2624</v>
      </c>
      <c r="J79" s="11">
        <v>2645</v>
      </c>
      <c r="K79" s="11">
        <v>3191</v>
      </c>
      <c r="L79" s="11">
        <f>6573-K79</f>
        <v>3382</v>
      </c>
      <c r="M79" s="11">
        <f>9768-L79-K79</f>
        <v>3195</v>
      </c>
      <c r="N79" s="11">
        <f>12991-M79-L79-K79</f>
        <v>3223</v>
      </c>
      <c r="O79" s="11">
        <v>3745</v>
      </c>
      <c r="P79" s="11">
        <f>7548-O79</f>
        <v>3803</v>
      </c>
      <c r="Q79" s="11">
        <f>11422-P79-O79</f>
        <v>3874</v>
      </c>
      <c r="R79" s="11">
        <v>3954</v>
      </c>
      <c r="S79" s="11">
        <v>4504</v>
      </c>
      <c r="T79" s="11">
        <v>4782</v>
      </c>
      <c r="U79" s="11">
        <v>4976</v>
      </c>
      <c r="V79" s="11">
        <v>5100</v>
      </c>
      <c r="W79" s="11">
        <v>5284</v>
      </c>
      <c r="X79" s="11">
        <f>11058-W79</f>
        <v>5774</v>
      </c>
      <c r="Y79" s="11">
        <v>5743</v>
      </c>
      <c r="Z79" s="11">
        <v>5659</v>
      </c>
      <c r="AA79" s="11">
        <v>5264</v>
      </c>
      <c r="AB79" s="11">
        <f>11129-AA79</f>
        <v>5865</v>
      </c>
      <c r="AC79" s="11">
        <f>16975-AB79-AA79</f>
        <v>5846</v>
      </c>
      <c r="AD79" s="11">
        <f>22785-AC79-AB79-AA79</f>
        <v>5810</v>
      </c>
      <c r="AE79" s="11">
        <v>5516</v>
      </c>
      <c r="AF79" s="11">
        <v>5998</v>
      </c>
      <c r="AG79" s="11">
        <v>6368</v>
      </c>
      <c r="AH79" s="11">
        <v>7071</v>
      </c>
      <c r="AI79" s="11">
        <v>6751</v>
      </c>
      <c r="AJ79" s="11">
        <f>14708-AI79</f>
        <v>7957</v>
      </c>
      <c r="AK79" s="11"/>
      <c r="AL79" s="11"/>
      <c r="AM79" s="11"/>
      <c r="AQ79" s="3">
        <f>1120-159</f>
        <v>961</v>
      </c>
      <c r="AR79" s="3">
        <f>1164-90</f>
        <v>1074</v>
      </c>
      <c r="AS79" s="3">
        <f>1376-94</f>
        <v>1282</v>
      </c>
      <c r="AT79" s="3">
        <f>1974-86</f>
        <v>1888</v>
      </c>
      <c r="AU79" s="3">
        <f>2692-188</f>
        <v>2504</v>
      </c>
      <c r="AV79" s="3">
        <v>3343</v>
      </c>
      <c r="AW79" s="3">
        <v>4279</v>
      </c>
      <c r="AX79" s="3">
        <v>5203</v>
      </c>
      <c r="AY79" s="3">
        <v>6703</v>
      </c>
      <c r="AZ79" s="3">
        <v>7679</v>
      </c>
      <c r="BA79" s="3">
        <v>9353</v>
      </c>
      <c r="BB79" s="3">
        <f t="shared" si="561"/>
        <v>10794</v>
      </c>
      <c r="BC79" s="3">
        <f t="shared" si="560"/>
        <v>12991</v>
      </c>
      <c r="BD79" s="3">
        <f t="shared" si="565"/>
        <v>15376</v>
      </c>
      <c r="BE79" s="3">
        <f t="shared" si="562"/>
        <v>19362</v>
      </c>
      <c r="BF79" s="3">
        <f t="shared" si="563"/>
        <v>22460</v>
      </c>
      <c r="BG79" s="3">
        <f t="shared" si="566"/>
        <v>22785</v>
      </c>
      <c r="BH79" s="3">
        <f t="shared" si="564"/>
        <v>24953</v>
      </c>
    </row>
    <row r="80" spans="2:60" s="3" customFormat="1" x14ac:dyDescent="0.2">
      <c r="B80" s="3" t="s">
        <v>56</v>
      </c>
      <c r="C80" s="11">
        <v>-18</v>
      </c>
      <c r="D80" s="11">
        <f>-157-C80</f>
        <v>-139</v>
      </c>
      <c r="E80" s="11">
        <f>381-D80-C80</f>
        <v>538</v>
      </c>
      <c r="F80" s="11">
        <v>55</v>
      </c>
      <c r="G80" s="11">
        <v>-73</v>
      </c>
      <c r="H80" s="11">
        <f>620-G80</f>
        <v>693</v>
      </c>
      <c r="I80" s="11">
        <f>381-H80-G80</f>
        <v>-239</v>
      </c>
      <c r="J80" s="11">
        <v>-208</v>
      </c>
      <c r="K80" s="11">
        <v>175</v>
      </c>
      <c r="L80" s="11">
        <f>-416-K80</f>
        <v>-591</v>
      </c>
      <c r="M80" s="11">
        <f>-280-L80-K80</f>
        <v>136</v>
      </c>
      <c r="N80" s="11">
        <f>1390-M80-L80-K80</f>
        <v>1670</v>
      </c>
      <c r="O80" s="11">
        <v>1100</v>
      </c>
      <c r="P80" s="11">
        <f>1479-O80</f>
        <v>379</v>
      </c>
      <c r="Q80" s="11">
        <f>192-P80-O80</f>
        <v>-1287</v>
      </c>
      <c r="R80" s="11">
        <v>1616</v>
      </c>
      <c r="S80" s="11">
        <v>-2090</v>
      </c>
      <c r="T80" s="11">
        <v>-2147</v>
      </c>
      <c r="U80" s="11">
        <v>-1920</v>
      </c>
      <c r="V80" s="11">
        <v>-1924</v>
      </c>
      <c r="W80" s="11">
        <v>-1854</v>
      </c>
      <c r="X80" s="11">
        <f>-4269-W80</f>
        <v>-2415</v>
      </c>
      <c r="Y80" s="11">
        <v>-1824</v>
      </c>
      <c r="Z80" s="11">
        <v>-1670</v>
      </c>
      <c r="AA80" s="11">
        <v>419</v>
      </c>
      <c r="AB80" s="11">
        <f>-2738-AA80</f>
        <v>-3157</v>
      </c>
      <c r="AC80" s="11">
        <f>-3809-AB80-AA80</f>
        <v>-1071</v>
      </c>
      <c r="AD80" s="11">
        <f>-5257-AC80-AB80-AA80</f>
        <v>-1448</v>
      </c>
      <c r="AE80" s="11">
        <v>-1152</v>
      </c>
      <c r="AF80" s="11">
        <v>-444</v>
      </c>
      <c r="AG80" s="11">
        <v>8726</v>
      </c>
      <c r="AH80" s="11">
        <v>1218</v>
      </c>
      <c r="AI80" s="11">
        <v>6920</v>
      </c>
      <c r="AJ80" s="11">
        <f>27538-AI80</f>
        <v>20618</v>
      </c>
      <c r="AK80" s="11"/>
      <c r="AL80" s="11"/>
      <c r="AM80" s="11"/>
      <c r="AQ80" s="3">
        <v>-225</v>
      </c>
      <c r="AR80" s="3">
        <v>-268</v>
      </c>
      <c r="AS80" s="3">
        <v>9</v>
      </c>
      <c r="AT80" s="3">
        <v>343</v>
      </c>
      <c r="AU80" s="3">
        <v>-266</v>
      </c>
      <c r="AV80" s="3">
        <f>-481-437</f>
        <v>-918</v>
      </c>
      <c r="AW80" s="3">
        <v>-104</v>
      </c>
      <c r="AX80" s="3">
        <v>-179</v>
      </c>
      <c r="AY80" s="3">
        <v>-38</v>
      </c>
      <c r="AZ80" s="3">
        <v>258</v>
      </c>
      <c r="BA80" s="3">
        <v>778</v>
      </c>
      <c r="BB80" s="3">
        <f t="shared" si="561"/>
        <v>173</v>
      </c>
      <c r="BC80" s="3">
        <f t="shared" si="560"/>
        <v>1390</v>
      </c>
      <c r="BD80" s="3">
        <f t="shared" si="565"/>
        <v>1808</v>
      </c>
      <c r="BE80" s="3">
        <f t="shared" si="562"/>
        <v>-8081</v>
      </c>
      <c r="BF80" s="3">
        <f t="shared" si="563"/>
        <v>-7763</v>
      </c>
      <c r="BG80" s="3">
        <f t="shared" si="566"/>
        <v>-5257</v>
      </c>
      <c r="BH80" s="3">
        <f t="shared" si="564"/>
        <v>8348</v>
      </c>
    </row>
    <row r="81" spans="2:62" s="3" customFormat="1" x14ac:dyDescent="0.2">
      <c r="B81" s="3" t="s">
        <v>87</v>
      </c>
      <c r="C81" s="11">
        <v>-2992</v>
      </c>
      <c r="D81" s="11">
        <f>-4060-C81</f>
        <v>-1068</v>
      </c>
      <c r="E81" s="11">
        <f>-2399-D81-C81</f>
        <v>1661</v>
      </c>
      <c r="F81" s="11">
        <v>-1237</v>
      </c>
      <c r="G81" s="11">
        <v>-1081</v>
      </c>
      <c r="H81" s="11">
        <f>-3878-G81</f>
        <v>-2797</v>
      </c>
      <c r="I81" s="11">
        <f>-2399-H81-G81</f>
        <v>1479</v>
      </c>
      <c r="J81" s="11">
        <v>-399</v>
      </c>
      <c r="K81" s="11">
        <v>802</v>
      </c>
      <c r="L81" s="11">
        <f>-1040-K81</f>
        <v>-1842</v>
      </c>
      <c r="M81" s="11">
        <f>-3055-L81-K81</f>
        <v>-2015</v>
      </c>
      <c r="N81" s="11">
        <f>-6317-M81-L81-K81</f>
        <v>-3262</v>
      </c>
      <c r="O81" s="11">
        <v>-4751</v>
      </c>
      <c r="P81" s="11">
        <f>-7634-O81</f>
        <v>-2883</v>
      </c>
      <c r="Q81" s="11">
        <f>-9792-P81-O81</f>
        <v>-2158</v>
      </c>
      <c r="R81" s="11">
        <v>-2478</v>
      </c>
      <c r="S81" s="11">
        <v>1437</v>
      </c>
      <c r="T81" s="11">
        <v>1041</v>
      </c>
      <c r="U81" s="11">
        <v>1378</v>
      </c>
      <c r="V81" s="11">
        <v>1663</v>
      </c>
      <c r="W81" s="11">
        <v>-84</v>
      </c>
      <c r="X81" s="11">
        <f>425-W81</f>
        <v>509</v>
      </c>
      <c r="Y81" s="11">
        <v>869</v>
      </c>
      <c r="Z81" s="11">
        <v>-471</v>
      </c>
      <c r="AA81" s="11">
        <v>-1781</v>
      </c>
      <c r="AB81" s="11">
        <f>-757-AA81</f>
        <v>1024</v>
      </c>
      <c r="AC81" s="11">
        <f>-2738-AB81-AA81</f>
        <v>-1981</v>
      </c>
      <c r="AD81" s="11">
        <f>-2671-AC81-AB81-AA81</f>
        <v>67</v>
      </c>
      <c r="AE81" s="11">
        <v>-9960</v>
      </c>
      <c r="AF81" s="11">
        <v>-1451</v>
      </c>
      <c r="AG81" s="11">
        <v>-10855</v>
      </c>
      <c r="AH81" s="11">
        <v>-2354</v>
      </c>
      <c r="AI81" s="11">
        <v>-36804</v>
      </c>
      <c r="AJ81" s="11">
        <f>-135803-AI81</f>
        <v>-98999</v>
      </c>
      <c r="AK81" s="11"/>
      <c r="AL81" s="11"/>
      <c r="AM81" s="11"/>
      <c r="AQ81" s="3">
        <v>1095</v>
      </c>
      <c r="AR81" s="3">
        <v>0</v>
      </c>
      <c r="AS81" s="3">
        <v>0</v>
      </c>
      <c r="AT81" s="3">
        <v>110</v>
      </c>
      <c r="AU81" s="3">
        <v>0</v>
      </c>
      <c r="AV81" s="3">
        <v>-166</v>
      </c>
      <c r="AW81" s="3">
        <v>-390</v>
      </c>
      <c r="AX81" s="3">
        <v>334</v>
      </c>
      <c r="AY81" s="3">
        <v>73</v>
      </c>
      <c r="AZ81" s="3">
        <v>37</v>
      </c>
      <c r="BA81" s="3">
        <v>-6650</v>
      </c>
      <c r="BB81" s="3">
        <f t="shared" si="561"/>
        <v>-2798</v>
      </c>
      <c r="BC81" s="3">
        <f t="shared" si="560"/>
        <v>-6317</v>
      </c>
      <c r="BD81" s="3">
        <f t="shared" si="565"/>
        <v>-12270</v>
      </c>
      <c r="BE81" s="3">
        <f t="shared" si="562"/>
        <v>5519</v>
      </c>
      <c r="BF81" s="3">
        <f t="shared" si="563"/>
        <v>823</v>
      </c>
      <c r="BG81" s="3">
        <f t="shared" si="566"/>
        <v>-2671</v>
      </c>
      <c r="BH81" s="3">
        <f t="shared" si="564"/>
        <v>-24620</v>
      </c>
    </row>
    <row r="82" spans="2:62" s="3" customFormat="1" x14ac:dyDescent="0.2">
      <c r="B82" s="3" t="s">
        <v>28</v>
      </c>
      <c r="C82" s="11">
        <v>-257</v>
      </c>
      <c r="D82" s="11">
        <f>-120-C82</f>
        <v>137</v>
      </c>
      <c r="E82" s="11">
        <f>-119-D82-C82</f>
        <v>1</v>
      </c>
      <c r="F82" s="11">
        <v>-107</v>
      </c>
      <c r="G82" s="11">
        <v>22</v>
      </c>
      <c r="H82" s="11">
        <f>-48-G82</f>
        <v>-70</v>
      </c>
      <c r="I82" s="11">
        <f>-119-H82-G82</f>
        <v>-71</v>
      </c>
      <c r="J82" s="11">
        <v>-473</v>
      </c>
      <c r="K82" s="11">
        <v>297</v>
      </c>
      <c r="L82" s="11">
        <f>669-K82</f>
        <v>372</v>
      </c>
      <c r="M82" s="11">
        <f>875-L82-K82</f>
        <v>206</v>
      </c>
      <c r="N82" s="11">
        <f>1267-M82-L82-K82</f>
        <v>392</v>
      </c>
      <c r="O82" s="11">
        <v>-255</v>
      </c>
      <c r="P82" s="11">
        <f>-263-O82</f>
        <v>-8</v>
      </c>
      <c r="Q82" s="11">
        <f>-199-P82-O82</f>
        <v>64</v>
      </c>
      <c r="R82" s="11">
        <v>-14</v>
      </c>
      <c r="S82" s="11">
        <v>140</v>
      </c>
      <c r="T82" s="11">
        <v>62</v>
      </c>
      <c r="U82" s="11">
        <v>167</v>
      </c>
      <c r="V82" s="11">
        <v>661</v>
      </c>
      <c r="W82" s="11">
        <v>553</v>
      </c>
      <c r="X82" s="11">
        <f>650-W82</f>
        <v>97</v>
      </c>
      <c r="Y82" s="11">
        <v>262</v>
      </c>
      <c r="Z82" s="11">
        <v>1665</v>
      </c>
      <c r="AA82" s="11">
        <v>334</v>
      </c>
      <c r="AB82" s="11">
        <f>1185-AA82</f>
        <v>851</v>
      </c>
      <c r="AC82" s="11">
        <f>2592-AB82-AA82</f>
        <v>1407</v>
      </c>
      <c r="AD82" s="11">
        <f>3419-AC82-AB82-AA82</f>
        <v>827</v>
      </c>
      <c r="AE82" s="11">
        <v>481</v>
      </c>
      <c r="AF82" s="11">
        <v>560</v>
      </c>
      <c r="AG82" s="11">
        <v>-198</v>
      </c>
      <c r="AH82" s="11">
        <v>1265</v>
      </c>
      <c r="AI82" s="11">
        <v>1265</v>
      </c>
      <c r="AJ82" s="11">
        <f>3161-AI82</f>
        <v>1896</v>
      </c>
      <c r="AK82" s="11"/>
      <c r="AL82" s="11"/>
      <c r="AM82" s="11"/>
      <c r="AQ82" s="3">
        <v>-32</v>
      </c>
      <c r="AR82" s="3">
        <v>-20</v>
      </c>
      <c r="AS82" s="3">
        <v>-12</v>
      </c>
      <c r="AT82" s="3">
        <v>6</v>
      </c>
      <c r="AU82" s="3">
        <f>-188-28</f>
        <v>-216</v>
      </c>
      <c r="AV82" s="3">
        <f>-700+272</f>
        <v>-428</v>
      </c>
      <c r="AW82" s="3">
        <f>-740+192</f>
        <v>-548</v>
      </c>
      <c r="AX82" s="3">
        <v>212</v>
      </c>
      <c r="AY82" s="3">
        <v>376</v>
      </c>
      <c r="AZ82" s="3">
        <v>294</v>
      </c>
      <c r="BA82" s="3">
        <v>-189</v>
      </c>
      <c r="BB82" s="3">
        <f t="shared" si="561"/>
        <v>-592</v>
      </c>
      <c r="BC82" s="3">
        <f t="shared" si="560"/>
        <v>1267</v>
      </c>
      <c r="BD82" s="3">
        <f t="shared" si="565"/>
        <v>-213</v>
      </c>
      <c r="BE82" s="3">
        <f t="shared" si="562"/>
        <v>1030</v>
      </c>
      <c r="BF82" s="3">
        <f t="shared" si="563"/>
        <v>2577</v>
      </c>
      <c r="BG82" s="3">
        <f t="shared" si="566"/>
        <v>3419</v>
      </c>
      <c r="BH82" s="3">
        <f t="shared" si="564"/>
        <v>2108</v>
      </c>
    </row>
    <row r="83" spans="2:62" s="3" customFormat="1" x14ac:dyDescent="0.2">
      <c r="B83" s="3" t="s">
        <v>88</v>
      </c>
      <c r="C83" s="11">
        <f>1700+782-241+122-1142-286+130</f>
        <v>1065</v>
      </c>
      <c r="D83" s="11">
        <f>1388-656-756-23+4600-303+295-C83</f>
        <v>3480</v>
      </c>
      <c r="E83" s="11">
        <f>25+210-787-386+2927+201-149-D83-C83</f>
        <v>-2504</v>
      </c>
      <c r="F83" s="11">
        <f>-2887-360+33+774+2157+679+99</f>
        <v>495</v>
      </c>
      <c r="G83" s="11">
        <f>1172+1068-265-425-229-147-81</f>
        <v>1093</v>
      </c>
      <c r="H83" s="11">
        <f>26+25-176-443+1074-60-90-G83</f>
        <v>-737</v>
      </c>
      <c r="I83" s="11">
        <f>25+210-787-386+2927+201-149-H83-G83</f>
        <v>1685</v>
      </c>
      <c r="J83" s="11">
        <f>-4365-3338+166+814+4243+1072+186</f>
        <v>-1222</v>
      </c>
      <c r="K83" s="11">
        <f>2602-245-115-835-3531-871+37</f>
        <v>-2958</v>
      </c>
      <c r="L83" s="11">
        <f>2522+538-359-689-2099-692+148-K83</f>
        <v>2327</v>
      </c>
      <c r="M83" s="11">
        <f>-1079+469-592-269+891+277+428-L83-K83</f>
        <v>756</v>
      </c>
      <c r="N83" s="11">
        <f>-5445+740-738+963+4613+1362+207</f>
        <v>1702</v>
      </c>
      <c r="O83" s="11">
        <f>2794+785+7-982-3530-444+137</f>
        <v>-1233</v>
      </c>
      <c r="P83" s="11">
        <f>-867-297-192-1112+201+29+134-O83</f>
        <v>-871</v>
      </c>
      <c r="Q83" s="11">
        <f>-3276+2744-1447-874+2763+386+406-P83-O83</f>
        <v>2806</v>
      </c>
      <c r="R83" s="11">
        <f>-5819-3369-399+1157+4541+1296+368</f>
        <v>-2225</v>
      </c>
      <c r="S83" s="11">
        <f>4364+3820-776-2373-3216-828-94</f>
        <v>897</v>
      </c>
      <c r="T83" s="11">
        <f>-1969-4073-845+1201+1497-114+86</f>
        <v>-4217</v>
      </c>
      <c r="U83" s="11">
        <f>-97-609-2647+1907+2210-80+112</f>
        <v>796</v>
      </c>
      <c r="V83" s="11">
        <f>-4615+1446-778-28+3424+577+263</f>
        <v>289</v>
      </c>
      <c r="W83" s="11">
        <f>4454+4069-746-1105-4496-602-201</f>
        <v>1373</v>
      </c>
      <c r="X83" s="11">
        <f>1506+8520-1259+14-4037-418-17-W83</f>
        <v>2936</v>
      </c>
      <c r="Y83" s="11">
        <f>-2821+1872-1624+223+3657+103+707</f>
        <v>2117</v>
      </c>
      <c r="Z83" s="11">
        <f>-6518-9869+740+427+4317+797-165</f>
        <v>-10271</v>
      </c>
      <c r="AA83" s="11">
        <f>3167+3011-1000-2124-5054-322-141</f>
        <v>-2463</v>
      </c>
      <c r="AB83" s="11">
        <f>110-889-1532-563-5176+97+220-AA83</f>
        <v>-5270</v>
      </c>
      <c r="AC83" s="11">
        <f>-1321-2797-2334-42-6366+478+860-AB83-AA83</f>
        <v>-3789</v>
      </c>
      <c r="AD83" s="11">
        <f>-5891-2418-1397+359-1161+1059+1043-AC83-AB83-AA83</f>
        <v>3116</v>
      </c>
      <c r="AE83" s="11">
        <f>1638+7197-1288-880-5045+116+500</f>
        <v>2238</v>
      </c>
      <c r="AF83" s="11">
        <f>-2839-9631-1479+553+3485-335+136</f>
        <v>-10110</v>
      </c>
      <c r="AG83" s="11">
        <f>-2381-858-1293-444+7759+319+681</f>
        <v>3783</v>
      </c>
      <c r="AH83" s="11">
        <f>-4943+66-482+227+7937+799+1103</f>
        <v>4707</v>
      </c>
      <c r="AI83" s="11">
        <f>-363+8101-3403-240-6002+505</f>
        <v>-1402</v>
      </c>
      <c r="AJ83" s="11">
        <f>-6904-7739+8304-9950+2090+308+789-AI83</f>
        <v>-11700</v>
      </c>
      <c r="AK83" s="11"/>
      <c r="AL83" s="11"/>
      <c r="AM83" s="11"/>
      <c r="AQ83" s="3">
        <f>-334+626-147-212+339+14+41</f>
        <v>327</v>
      </c>
      <c r="AR83" s="3">
        <f>-504+217+262+34+243+158+76</f>
        <v>486</v>
      </c>
      <c r="AS83" s="3">
        <f>-1129+102-414+272+745+214+111</f>
        <v>-99</v>
      </c>
      <c r="AT83" s="3">
        <f>-1156+731-30-232+101+795+259+162</f>
        <v>630</v>
      </c>
      <c r="AU83" s="3">
        <f>-787+1492-532-499+762+299+163</f>
        <v>898</v>
      </c>
      <c r="AV83" s="3">
        <f>-1307+588-930+605+713+254+233</f>
        <v>156</v>
      </c>
      <c r="AW83" s="3">
        <f>-1641+591+459+436+757+245-175</f>
        <v>672</v>
      </c>
      <c r="AX83" s="3">
        <f>-2094-179-318+203+1597+339+43</f>
        <v>-409</v>
      </c>
      <c r="AY83" s="3">
        <f>-2578+3125+312+110+1515+593+223</f>
        <v>3300</v>
      </c>
      <c r="AZ83" s="3">
        <f>-3768+8211-2164+731+4891+955+390</f>
        <v>9246</v>
      </c>
      <c r="BA83" s="3">
        <f>-2169-2251-1207+1067+8614+483+371</f>
        <v>4908</v>
      </c>
      <c r="BB83" s="3">
        <f t="shared" si="561"/>
        <v>819</v>
      </c>
      <c r="BC83" s="3">
        <f t="shared" si="560"/>
        <v>1827</v>
      </c>
      <c r="BD83" s="3">
        <f t="shared" si="565"/>
        <v>-1523</v>
      </c>
      <c r="BE83" s="3">
        <f t="shared" si="562"/>
        <v>-2235</v>
      </c>
      <c r="BF83" s="3">
        <f t="shared" si="563"/>
        <v>-3845</v>
      </c>
      <c r="BG83" s="3">
        <f t="shared" si="566"/>
        <v>-8406</v>
      </c>
      <c r="BH83" s="3">
        <f t="shared" si="564"/>
        <v>618</v>
      </c>
    </row>
    <row r="84" spans="2:62" s="3" customFormat="1" x14ac:dyDescent="0.2">
      <c r="B84" s="3" t="s">
        <v>35</v>
      </c>
      <c r="C84" s="11">
        <f t="shared" ref="C84:Q84" si="567">SUM(C76:C83)</f>
        <v>11642</v>
      </c>
      <c r="D84" s="11">
        <f t="shared" si="567"/>
        <v>10132</v>
      </c>
      <c r="E84" s="11">
        <f t="shared" si="567"/>
        <v>18319</v>
      </c>
      <c r="F84" s="11">
        <f t="shared" si="567"/>
        <v>12987</v>
      </c>
      <c r="G84" s="11">
        <f t="shared" si="567"/>
        <v>12000</v>
      </c>
      <c r="H84" s="11">
        <f t="shared" si="567"/>
        <v>12627</v>
      </c>
      <c r="I84" s="11">
        <f t="shared" si="567"/>
        <v>15466</v>
      </c>
      <c r="J84" s="11">
        <f t="shared" si="567"/>
        <v>14427</v>
      </c>
      <c r="K84" s="11">
        <f t="shared" si="567"/>
        <v>11451</v>
      </c>
      <c r="L84" s="11">
        <f t="shared" si="567"/>
        <v>13993</v>
      </c>
      <c r="M84" s="11">
        <f t="shared" si="567"/>
        <v>17003</v>
      </c>
      <c r="N84" s="11">
        <f t="shared" si="567"/>
        <v>22677</v>
      </c>
      <c r="O84" s="11">
        <f t="shared" si="567"/>
        <v>19289</v>
      </c>
      <c r="P84" s="11">
        <f t="shared" si="567"/>
        <v>21890</v>
      </c>
      <c r="Q84" s="11">
        <f t="shared" si="567"/>
        <v>25539</v>
      </c>
      <c r="R84" s="11">
        <f t="shared" ref="R84:AI84" si="568">SUM(R76:R83)</f>
        <v>24934</v>
      </c>
      <c r="S84" s="11">
        <f t="shared" si="568"/>
        <v>25106</v>
      </c>
      <c r="T84" s="11">
        <f t="shared" si="568"/>
        <v>19422</v>
      </c>
      <c r="U84" s="11">
        <f t="shared" si="568"/>
        <v>23353</v>
      </c>
      <c r="V84" s="11">
        <f t="shared" si="568"/>
        <v>23614</v>
      </c>
      <c r="W84" s="11">
        <f t="shared" si="568"/>
        <v>23509</v>
      </c>
      <c r="X84" s="11">
        <f t="shared" si="568"/>
        <v>28666</v>
      </c>
      <c r="Y84" s="11">
        <f t="shared" si="568"/>
        <v>30656</v>
      </c>
      <c r="Z84" s="11">
        <f t="shared" si="568"/>
        <v>18915</v>
      </c>
      <c r="AA84" s="11">
        <f t="shared" si="568"/>
        <v>28848</v>
      </c>
      <c r="AB84" s="11">
        <f>SUM(AB76:AB83)</f>
        <v>26640</v>
      </c>
      <c r="AC84" s="11">
        <f t="shared" si="568"/>
        <v>30698</v>
      </c>
      <c r="AD84" s="11">
        <f t="shared" si="568"/>
        <v>39113</v>
      </c>
      <c r="AE84" s="11">
        <f t="shared" si="568"/>
        <v>36150</v>
      </c>
      <c r="AF84" s="11">
        <f t="shared" si="568"/>
        <v>27747</v>
      </c>
      <c r="AG84" s="11">
        <f t="shared" si="568"/>
        <v>48414</v>
      </c>
      <c r="AH84" s="11">
        <f t="shared" si="568"/>
        <v>52402</v>
      </c>
      <c r="AI84" s="11">
        <f t="shared" si="568"/>
        <v>45790</v>
      </c>
      <c r="AJ84" s="11">
        <f>SUM(AJ76:AJ83)</f>
        <v>39069</v>
      </c>
      <c r="AK84" s="11"/>
      <c r="AL84" s="11"/>
      <c r="AM84" s="11"/>
      <c r="AQ84" s="3">
        <f t="shared" ref="AQ84" si="569">SUM(AQ76:AQ83)</f>
        <v>7853</v>
      </c>
      <c r="AR84" s="3">
        <f t="shared" ref="AR84" si="570">SUM(AR76:AR83)</f>
        <v>9316</v>
      </c>
      <c r="AS84" s="3">
        <f t="shared" ref="AS84" si="571">SUM(AS76:AS83)</f>
        <v>11081</v>
      </c>
      <c r="AT84" s="3">
        <f t="shared" ref="AT84:BA84" si="572">SUM(AT76:AT83)</f>
        <v>14565</v>
      </c>
      <c r="AU84" s="3">
        <f t="shared" si="572"/>
        <v>16619</v>
      </c>
      <c r="AV84" s="3">
        <f t="shared" si="572"/>
        <v>18659</v>
      </c>
      <c r="AW84" s="3">
        <f t="shared" si="572"/>
        <v>23024</v>
      </c>
      <c r="AX84" s="3">
        <f t="shared" si="572"/>
        <v>26572</v>
      </c>
      <c r="AY84" s="3">
        <f t="shared" si="572"/>
        <v>36036</v>
      </c>
      <c r="AZ84" s="3">
        <f t="shared" si="572"/>
        <v>37091</v>
      </c>
      <c r="BA84" s="3">
        <f t="shared" si="572"/>
        <v>47971</v>
      </c>
      <c r="BB84" s="3">
        <f t="shared" ref="BB84:BH84" si="573">SUM(BB76:BB83)</f>
        <v>54520</v>
      </c>
      <c r="BC84" s="3">
        <f t="shared" si="573"/>
        <v>65124</v>
      </c>
      <c r="BD84" s="3">
        <f t="shared" si="573"/>
        <v>91652</v>
      </c>
      <c r="BE84" s="3">
        <f t="shared" si="573"/>
        <v>91495</v>
      </c>
      <c r="BF84" s="3">
        <f t="shared" si="573"/>
        <v>101746</v>
      </c>
      <c r="BG84" s="3">
        <f t="shared" si="573"/>
        <v>125299</v>
      </c>
      <c r="BH84" s="3">
        <f t="shared" si="573"/>
        <v>164713</v>
      </c>
    </row>
    <row r="85" spans="2:62" s="3" customFormat="1" x14ac:dyDescent="0.2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R85" s="22">
        <f t="shared" ref="AR85" si="574">+AR84/AQ84-1</f>
        <v>0.18629822997580536</v>
      </c>
      <c r="AS85" s="22">
        <f t="shared" ref="AS85" si="575">+AS84/AR84-1</f>
        <v>0.18945899527694299</v>
      </c>
      <c r="AT85" s="22">
        <f t="shared" ref="AT85" si="576">+AT84/AS84-1</f>
        <v>0.31441205667358552</v>
      </c>
      <c r="AU85" s="22">
        <f t="shared" ref="AU85" si="577">+AU84/AT84-1</f>
        <v>0.14102300034328863</v>
      </c>
      <c r="AV85" s="22">
        <f t="shared" ref="AV85:AZ85" si="578">+AV84/AU84-1</f>
        <v>0.1227510680546362</v>
      </c>
      <c r="AW85" s="22">
        <f t="shared" si="578"/>
        <v>0.23393536631116341</v>
      </c>
      <c r="AX85" s="22">
        <f t="shared" si="578"/>
        <v>0.15410006949270327</v>
      </c>
      <c r="AY85" s="22">
        <f t="shared" si="578"/>
        <v>0.35616438356164393</v>
      </c>
      <c r="AZ85" s="22">
        <f t="shared" si="578"/>
        <v>2.9276279276279293E-2</v>
      </c>
      <c r="BA85" s="22">
        <f t="shared" ref="BA85" si="579">+BA84/AZ84-1</f>
        <v>0.29333261438084701</v>
      </c>
      <c r="BB85" s="22">
        <f t="shared" ref="BB85" si="580">+BB84/BA84-1</f>
        <v>0.13651998082174654</v>
      </c>
      <c r="BC85" s="22">
        <f t="shared" ref="BC85:BD85" si="581">+BC84/BB84-1</f>
        <v>0.19449743213499637</v>
      </c>
      <c r="BD85" s="22">
        <f t="shared" si="581"/>
        <v>0.40734598611878869</v>
      </c>
      <c r="BE85" s="22">
        <f>+BE84/BD84-1</f>
        <v>-1.7130013529437216E-3</v>
      </c>
      <c r="BF85" s="22">
        <f>+BF84/BE84-1</f>
        <v>0.11203890923001247</v>
      </c>
      <c r="BG85" s="22">
        <f>+BG84/BF84-1</f>
        <v>0.23148821575295342</v>
      </c>
      <c r="BH85" s="22">
        <f>+BH84/BG84-1</f>
        <v>0.31455957350018759</v>
      </c>
    </row>
    <row r="86" spans="2:62" s="3" customFormat="1" x14ac:dyDescent="0.2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BE86" s="22"/>
      <c r="BF86" s="22"/>
      <c r="BG86" s="22"/>
      <c r="BH86" s="22"/>
    </row>
    <row r="87" spans="2:62" s="3" customFormat="1" x14ac:dyDescent="0.2">
      <c r="B87" s="3" t="s">
        <v>36</v>
      </c>
      <c r="C87" s="11">
        <f>-7299+30</f>
        <v>-7269</v>
      </c>
      <c r="D87" s="11">
        <f>-12776-C87</f>
        <v>-5507</v>
      </c>
      <c r="E87" s="11">
        <f>-17496-D87-C87</f>
        <v>-4720</v>
      </c>
      <c r="F87" s="11">
        <v>-7081</v>
      </c>
      <c r="G87" s="11">
        <v>-4638</v>
      </c>
      <c r="H87" s="11">
        <f>-10764-G87</f>
        <v>-6126</v>
      </c>
      <c r="I87" s="11">
        <f>-17496-H87-G87</f>
        <v>-6732</v>
      </c>
      <c r="J87" s="11">
        <v>-6052</v>
      </c>
      <c r="K87" s="11">
        <v>-6005</v>
      </c>
      <c r="L87" s="11">
        <f>-11396-K87</f>
        <v>-5391</v>
      </c>
      <c r="M87" s="11">
        <f>-16802-L87-K87</f>
        <v>-5406</v>
      </c>
      <c r="N87" s="11">
        <v>-5479</v>
      </c>
      <c r="O87" s="11">
        <v>-5942</v>
      </c>
      <c r="P87" s="11">
        <v>-5496</v>
      </c>
      <c r="Q87" s="11">
        <v>-6819</v>
      </c>
      <c r="R87" s="11">
        <v>-6383</v>
      </c>
      <c r="S87" s="11">
        <v>-9786</v>
      </c>
      <c r="T87" s="11">
        <v>-6828</v>
      </c>
      <c r="U87" s="11">
        <v>-7276</v>
      </c>
      <c r="V87" s="11">
        <v>-7595</v>
      </c>
      <c r="W87" s="11">
        <v>-6289</v>
      </c>
      <c r="X87" s="11">
        <f>-13177-W87</f>
        <v>-6888</v>
      </c>
      <c r="Y87" s="11">
        <v>-8055</v>
      </c>
      <c r="Z87" s="11">
        <v>-11019</v>
      </c>
      <c r="AA87" s="11">
        <v>-12012</v>
      </c>
      <c r="AB87" s="11">
        <f>-25198-AA87</f>
        <v>-13186</v>
      </c>
      <c r="AC87" s="11">
        <f>-38259-AB87-AA87</f>
        <v>-13061</v>
      </c>
      <c r="AD87" s="11">
        <f>-52535-AC87-AB87-AA87</f>
        <v>-14276</v>
      </c>
      <c r="AE87" s="11">
        <v>-17197</v>
      </c>
      <c r="AF87" s="11">
        <v>-22446</v>
      </c>
      <c r="AG87" s="11">
        <v>-23953</v>
      </c>
      <c r="AH87" s="11">
        <v>-27851</v>
      </c>
      <c r="AI87" s="11">
        <v>-35674</v>
      </c>
      <c r="AJ87" s="11">
        <f>-80598-AI87</f>
        <v>-44924</v>
      </c>
      <c r="AK87" s="11">
        <f>AJ87-7000</f>
        <v>-51924</v>
      </c>
      <c r="AL87" s="11">
        <f>AK87-7000</f>
        <v>-58924</v>
      </c>
      <c r="AM87" s="11"/>
      <c r="AQ87" s="3">
        <v>-2359</v>
      </c>
      <c r="AR87" s="3">
        <v>-810</v>
      </c>
      <c r="AS87" s="3">
        <v>-4018</v>
      </c>
      <c r="AT87" s="3">
        <v>-3438</v>
      </c>
      <c r="AU87" s="3">
        <v>-3273</v>
      </c>
      <c r="AV87" s="3">
        <f>-7358</f>
        <v>-7358</v>
      </c>
      <c r="AW87" s="3">
        <f>-11014+55</f>
        <v>-10959</v>
      </c>
      <c r="AX87" s="3">
        <f>-9950+35</f>
        <v>-9915</v>
      </c>
      <c r="AY87" s="3">
        <f>-10212+240</f>
        <v>-9972</v>
      </c>
      <c r="AZ87" s="3">
        <f>-13184+99</f>
        <v>-13085</v>
      </c>
      <c r="BA87" s="3">
        <f>-25139+98</f>
        <v>-25041</v>
      </c>
      <c r="BB87" s="3">
        <f t="shared" ref="BB87:BB90" si="582">SUM(G87:J87)</f>
        <v>-23548</v>
      </c>
      <c r="BC87" s="3">
        <f t="shared" ref="BC87:BC90" si="583">SUM(K87:N87)</f>
        <v>-22281</v>
      </c>
      <c r="BD87" s="3">
        <f t="shared" ref="BD87:BD90" si="584">SUM(O87:R87)</f>
        <v>-24640</v>
      </c>
      <c r="BE87" s="3">
        <f t="shared" ref="BE87:BE90" si="585">SUM(S87:V87)</f>
        <v>-31485</v>
      </c>
      <c r="BF87" s="3">
        <f t="shared" ref="BF87:BF90" si="586">SUM(W87:Z87)</f>
        <v>-32251</v>
      </c>
      <c r="BG87" s="3">
        <f t="shared" ref="BG87:BG90" si="587">SUM(AA87:AD87)</f>
        <v>-52535</v>
      </c>
      <c r="BH87" s="3">
        <f>SUM(AE87:AH87)</f>
        <v>-91447</v>
      </c>
      <c r="BI87" s="3">
        <f>SUM(AI87:AL87)</f>
        <v>-191446</v>
      </c>
      <c r="BJ87" s="3">
        <v>-300000</v>
      </c>
    </row>
    <row r="88" spans="2:62" s="3" customFormat="1" x14ac:dyDescent="0.2">
      <c r="B88" s="3" t="s">
        <v>89</v>
      </c>
      <c r="C88" s="11">
        <f>-8849+9351-327+498</f>
        <v>673</v>
      </c>
      <c r="D88" s="11">
        <f>-23041+25523-732+1191-C88</f>
        <v>2268</v>
      </c>
      <c r="E88" s="11">
        <f>-80968+74783-1499+297-D88-C88</f>
        <v>-10328</v>
      </c>
      <c r="F88" s="11">
        <f>-12818+13581-955+407</f>
        <v>215</v>
      </c>
      <c r="G88" s="11">
        <f>-20883+21006-907+99</f>
        <v>-685</v>
      </c>
      <c r="H88" s="11">
        <f>-44724+40692-1095+206-G88</f>
        <v>-4236</v>
      </c>
      <c r="I88" s="11">
        <f>-80968+74783-1499+297-H88-G88</f>
        <v>-2466</v>
      </c>
      <c r="J88" s="11">
        <f>-19347+23042-433+108</f>
        <v>3370</v>
      </c>
      <c r="K88" s="11">
        <f>-37563+41811-572+260</f>
        <v>3936</v>
      </c>
      <c r="L88" s="11">
        <f>-64111+65874-1311-K88+473</f>
        <v>-3011</v>
      </c>
      <c r="M88" s="11">
        <f>-104932+97751-1864+598-L88-K88</f>
        <v>-9372</v>
      </c>
      <c r="N88" s="11">
        <f>-31644+35155-5311+425</f>
        <v>-1375</v>
      </c>
      <c r="O88" s="11">
        <f>-36426+39248-646+19</f>
        <v>2195</v>
      </c>
      <c r="P88" s="11">
        <f>-60609+60667-1412+256-O88</f>
        <v>-3293</v>
      </c>
      <c r="Q88" s="11">
        <f>-95106+92126-2068+590-P88-O88</f>
        <v>-3360</v>
      </c>
      <c r="R88" s="11">
        <f>-40090+36168-770+344</f>
        <v>-4348</v>
      </c>
      <c r="S88" s="11">
        <f>-28462+29779-776+12</f>
        <v>553</v>
      </c>
      <c r="T88" s="11">
        <f>-21737+25595-488+113</f>
        <v>3483</v>
      </c>
      <c r="U88" s="11">
        <f>-67253+84087-1628+131-T88-S88</f>
        <v>11301</v>
      </c>
      <c r="V88" s="11">
        <f>-11621+13735-903+19</f>
        <v>1230</v>
      </c>
      <c r="W88" s="11">
        <f>-14227+18327-626+36</f>
        <v>3510</v>
      </c>
      <c r="X88" s="11">
        <f>-35589+37049-1513-W88+181</f>
        <v>-3382</v>
      </c>
      <c r="Y88" s="11">
        <f>-13833+15593-663+562</f>
        <v>1659</v>
      </c>
      <c r="Z88" s="11">
        <f>-28436+34030-851+204</f>
        <v>4947</v>
      </c>
      <c r="AA88" s="11">
        <f>-20684+24985-1206+313</f>
        <v>3408</v>
      </c>
      <c r="AB88" s="11">
        <f>-43011+58577-2199+605-AA88</f>
        <v>10564</v>
      </c>
      <c r="AC88" s="11">
        <f>-65034+81779-3234+732-AB88-AA88</f>
        <v>271</v>
      </c>
      <c r="AD88" s="11">
        <f>-86679+103428-5034+882-AC88-AB88-AA88</f>
        <v>-1646</v>
      </c>
      <c r="AE88" s="11">
        <f>-18453+20345-958+259</f>
        <v>1193</v>
      </c>
      <c r="AF88" s="11">
        <f>-21417+20585-1354+614</f>
        <v>-1572</v>
      </c>
      <c r="AG88" s="11">
        <f>-20964+20371-1000+323</f>
        <v>-1270</v>
      </c>
      <c r="AH88" s="11">
        <f>-42939+21939-2404+171</f>
        <v>-23233</v>
      </c>
      <c r="AI88" s="11">
        <f>-31041+38001-906+848</f>
        <v>6902</v>
      </c>
      <c r="AJ88" s="11">
        <f>-76480+66696-22051+1667-AI88</f>
        <v>-37070</v>
      </c>
      <c r="AK88" s="11"/>
      <c r="AL88" s="11"/>
      <c r="AM88" s="11"/>
      <c r="AQ88" s="3">
        <f>-15356+15763-47</f>
        <v>360</v>
      </c>
      <c r="AR88" s="3">
        <f>-29139+22103-65</f>
        <v>-7101</v>
      </c>
      <c r="AS88" s="3">
        <f>-43985+37099-320+2361-750</f>
        <v>-5595</v>
      </c>
      <c r="AT88" s="3">
        <f>-61672+48746-428-354+5</f>
        <v>-13703</v>
      </c>
      <c r="AU88" s="3">
        <f>-33410+35180-696-334+45</f>
        <v>785</v>
      </c>
      <c r="AV88" s="3">
        <f>-45444+38314-569-299+600</f>
        <v>-7398</v>
      </c>
      <c r="AW88" s="3">
        <f>-56310+51315-1440+213+1403-775</f>
        <v>-5594</v>
      </c>
      <c r="AX88" s="3">
        <f>-74368+62905-2326+154-350+425</f>
        <v>-13560</v>
      </c>
      <c r="AY88" s="3">
        <f>-84509+66895-1109+494-2428+450</f>
        <v>-20207</v>
      </c>
      <c r="AZ88" s="3">
        <f>-92195+73959-1745+533</f>
        <v>-19448</v>
      </c>
      <c r="BA88" s="3">
        <f>-50158+48507-2073+1752</f>
        <v>-1972</v>
      </c>
      <c r="BB88" s="3">
        <f t="shared" si="582"/>
        <v>-4017</v>
      </c>
      <c r="BC88" s="3">
        <f t="shared" si="583"/>
        <v>-9822</v>
      </c>
      <c r="BD88" s="3">
        <f t="shared" si="584"/>
        <v>-8806</v>
      </c>
      <c r="BE88" s="3">
        <f t="shared" si="585"/>
        <v>16567</v>
      </c>
      <c r="BF88" s="3">
        <f t="shared" si="586"/>
        <v>6734</v>
      </c>
      <c r="BG88" s="3">
        <f t="shared" si="587"/>
        <v>12597</v>
      </c>
      <c r="BH88" s="3">
        <f t="shared" ref="BH88:BH90" si="588">SUM(AE88:AH88)</f>
        <v>-24882</v>
      </c>
    </row>
    <row r="89" spans="2:62" s="3" customFormat="1" x14ac:dyDescent="0.2">
      <c r="B89" s="3" t="s">
        <v>91</v>
      </c>
      <c r="C89" s="11">
        <v>-1250</v>
      </c>
      <c r="D89" s="11">
        <f>-1434-C89</f>
        <v>-184</v>
      </c>
      <c r="E89" s="11">
        <f>-373-D89-C89</f>
        <v>1061</v>
      </c>
      <c r="F89" s="11">
        <v>-39</v>
      </c>
      <c r="G89" s="11">
        <v>-99</v>
      </c>
      <c r="H89" s="11">
        <f>-247-G89</f>
        <v>-148</v>
      </c>
      <c r="I89" s="11">
        <f>-373-H89-G89</f>
        <v>-126</v>
      </c>
      <c r="J89" s="11">
        <v>-2142</v>
      </c>
      <c r="K89" s="11">
        <v>-190</v>
      </c>
      <c r="L89" s="11">
        <f>-355-K89</f>
        <v>-165</v>
      </c>
      <c r="M89" s="11">
        <f>-368-L89-K89</f>
        <v>-13</v>
      </c>
      <c r="N89" s="11">
        <v>-370</v>
      </c>
      <c r="O89" s="11">
        <v>-1666</v>
      </c>
      <c r="P89" s="11">
        <f>-1974-O89</f>
        <v>-308</v>
      </c>
      <c r="Q89" s="11">
        <f>-2233-P89-O89</f>
        <v>-259</v>
      </c>
      <c r="R89" s="11">
        <v>-385</v>
      </c>
      <c r="S89" s="11">
        <v>-173</v>
      </c>
      <c r="T89" s="11">
        <v>-1063</v>
      </c>
      <c r="U89" s="11">
        <f>-6885-T89-S89</f>
        <v>-5649</v>
      </c>
      <c r="V89" s="11">
        <v>-84</v>
      </c>
      <c r="W89" s="11">
        <v>-42</v>
      </c>
      <c r="X89" s="11">
        <f>-340-W89</f>
        <v>-298</v>
      </c>
      <c r="Y89" s="11">
        <v>-126</v>
      </c>
      <c r="Z89" s="11">
        <v>-29</v>
      </c>
      <c r="AA89" s="11">
        <v>-61</v>
      </c>
      <c r="AB89" s="11">
        <f>-87-AA89</f>
        <v>-26</v>
      </c>
      <c r="AC89" s="11">
        <f>-2840-AB89-AA89</f>
        <v>-2753</v>
      </c>
      <c r="AD89" s="11">
        <f>-2931-AC89-AB89-AA89</f>
        <v>-91</v>
      </c>
      <c r="AE89" s="11">
        <v>-340</v>
      </c>
      <c r="AF89" s="11">
        <v>-13</v>
      </c>
      <c r="AG89" s="11">
        <v>-1072</v>
      </c>
      <c r="AH89" s="11">
        <v>-167</v>
      </c>
      <c r="AI89" s="11">
        <v>-33621</v>
      </c>
      <c r="AJ89" s="11">
        <f>-33697-AI89</f>
        <v>-76</v>
      </c>
      <c r="AK89" s="11"/>
      <c r="AL89" s="11"/>
      <c r="AM89" s="11"/>
      <c r="AQ89" s="3">
        <v>-3320</v>
      </c>
      <c r="AR89" s="3">
        <v>-108</v>
      </c>
      <c r="AS89" s="3">
        <v>-1067</v>
      </c>
      <c r="AT89" s="3">
        <v>-1900</v>
      </c>
      <c r="AU89" s="3">
        <v>-10568</v>
      </c>
      <c r="AV89" s="3">
        <f>2525-1448</f>
        <v>1077</v>
      </c>
      <c r="AW89" s="3">
        <f>386-4888</f>
        <v>-4502</v>
      </c>
      <c r="AX89" s="3">
        <v>-236</v>
      </c>
      <c r="AY89" s="3">
        <v>-986</v>
      </c>
      <c r="AZ89" s="3">
        <v>-287</v>
      </c>
      <c r="BA89" s="3">
        <v>-1491</v>
      </c>
      <c r="BB89" s="3">
        <f t="shared" si="582"/>
        <v>-2515</v>
      </c>
      <c r="BC89" s="3">
        <f t="shared" si="583"/>
        <v>-738</v>
      </c>
      <c r="BD89" s="3">
        <f t="shared" si="584"/>
        <v>-2618</v>
      </c>
      <c r="BE89" s="3">
        <f t="shared" si="585"/>
        <v>-6969</v>
      </c>
      <c r="BF89" s="3">
        <f t="shared" si="586"/>
        <v>-495</v>
      </c>
      <c r="BG89" s="3">
        <f t="shared" si="587"/>
        <v>-2931</v>
      </c>
      <c r="BH89" s="3">
        <f t="shared" si="588"/>
        <v>-1592</v>
      </c>
    </row>
    <row r="90" spans="2:62" s="3" customFormat="1" x14ac:dyDescent="0.2">
      <c r="B90" s="3" t="s">
        <v>28</v>
      </c>
      <c r="C90" s="11">
        <v>0</v>
      </c>
      <c r="D90" s="11">
        <f>49-C90</f>
        <v>49</v>
      </c>
      <c r="E90" s="11">
        <f>468-D90-C90</f>
        <v>419</v>
      </c>
      <c r="F90" s="11">
        <v>29</v>
      </c>
      <c r="G90" s="11">
        <v>34</v>
      </c>
      <c r="H90" s="11">
        <f>89-G90</f>
        <v>55</v>
      </c>
      <c r="I90" s="11">
        <f>468-H90-G90</f>
        <v>379</v>
      </c>
      <c r="J90" s="11">
        <v>121</v>
      </c>
      <c r="K90" s="11">
        <v>412</v>
      </c>
      <c r="L90" s="11">
        <f>531-K90</f>
        <v>119</v>
      </c>
      <c r="M90" s="11">
        <f>125-L90-K90</f>
        <v>-406</v>
      </c>
      <c r="N90" s="11">
        <v>-57</v>
      </c>
      <c r="O90" s="11">
        <v>30</v>
      </c>
      <c r="P90" s="11">
        <f>53-O90</f>
        <v>23</v>
      </c>
      <c r="Q90" s="11">
        <f>441-P90-O90</f>
        <v>388</v>
      </c>
      <c r="R90" s="11">
        <v>100</v>
      </c>
      <c r="S90" s="11">
        <v>355</v>
      </c>
      <c r="T90" s="11">
        <v>221</v>
      </c>
      <c r="U90" s="11">
        <f>1367-T90-S90</f>
        <v>791</v>
      </c>
      <c r="V90" s="11">
        <v>222</v>
      </c>
      <c r="W90" s="11">
        <v>-125</v>
      </c>
      <c r="X90" s="11">
        <f>-357-W90</f>
        <v>-232</v>
      </c>
      <c r="Y90" s="11">
        <v>-628</v>
      </c>
      <c r="Z90" s="11">
        <v>-66</v>
      </c>
      <c r="AA90" s="11">
        <v>101</v>
      </c>
      <c r="AB90" s="11">
        <f>-32-AA90</f>
        <v>-133</v>
      </c>
      <c r="AC90" s="11">
        <f>-2500-AB90-AA90</f>
        <v>-2468</v>
      </c>
      <c r="AD90" s="11">
        <f>-2667-AC90-AB90-AA90</f>
        <v>-167</v>
      </c>
      <c r="AE90" s="11">
        <v>150</v>
      </c>
      <c r="AF90" s="11">
        <v>-513</v>
      </c>
      <c r="AG90" s="11">
        <v>-1482</v>
      </c>
      <c r="AH90" s="11">
        <v>-525</v>
      </c>
      <c r="AI90" s="11">
        <v>-996</v>
      </c>
      <c r="AJ90" s="11">
        <f>-1359-AI90</f>
        <v>-363</v>
      </c>
      <c r="AK90" s="11"/>
      <c r="AL90" s="11"/>
      <c r="AM90" s="11"/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1419</v>
      </c>
      <c r="BA90" s="3">
        <v>0</v>
      </c>
      <c r="BB90" s="3">
        <f t="shared" si="582"/>
        <v>589</v>
      </c>
      <c r="BC90" s="3">
        <f t="shared" si="583"/>
        <v>68</v>
      </c>
      <c r="BD90" s="3">
        <f t="shared" si="584"/>
        <v>541</v>
      </c>
      <c r="BE90" s="3">
        <f t="shared" si="585"/>
        <v>1589</v>
      </c>
      <c r="BF90" s="3">
        <f t="shared" si="586"/>
        <v>-1051</v>
      </c>
      <c r="BG90" s="3">
        <f t="shared" si="587"/>
        <v>-2667</v>
      </c>
      <c r="BH90" s="3">
        <f t="shared" si="588"/>
        <v>-2370</v>
      </c>
    </row>
    <row r="91" spans="2:62" s="3" customFormat="1" x14ac:dyDescent="0.2">
      <c r="B91" s="3" t="s">
        <v>92</v>
      </c>
      <c r="C91" s="11">
        <f t="shared" ref="C91:N91" si="589">SUM(C87:C90)</f>
        <v>-7846</v>
      </c>
      <c r="D91" s="11">
        <f t="shared" si="589"/>
        <v>-3374</v>
      </c>
      <c r="E91" s="11">
        <f t="shared" si="589"/>
        <v>-13568</v>
      </c>
      <c r="F91" s="11">
        <f t="shared" si="589"/>
        <v>-6876</v>
      </c>
      <c r="G91" s="11">
        <f t="shared" si="589"/>
        <v>-5388</v>
      </c>
      <c r="H91" s="11">
        <f t="shared" si="589"/>
        <v>-10455</v>
      </c>
      <c r="I91" s="11">
        <f t="shared" si="589"/>
        <v>-8945</v>
      </c>
      <c r="J91" s="11">
        <f t="shared" si="589"/>
        <v>-4703</v>
      </c>
      <c r="K91" s="11">
        <f t="shared" si="589"/>
        <v>-1847</v>
      </c>
      <c r="L91" s="11">
        <f t="shared" si="589"/>
        <v>-8448</v>
      </c>
      <c r="M91" s="11">
        <f t="shared" si="589"/>
        <v>-15197</v>
      </c>
      <c r="N91" s="11">
        <f t="shared" si="589"/>
        <v>-7281</v>
      </c>
      <c r="O91" s="11">
        <f t="shared" ref="O91:R91" si="590">SUM(O87:O90)</f>
        <v>-5383</v>
      </c>
      <c r="P91" s="11">
        <f t="shared" si="590"/>
        <v>-9074</v>
      </c>
      <c r="Q91" s="11">
        <f t="shared" si="590"/>
        <v>-10050</v>
      </c>
      <c r="R91" s="11">
        <f t="shared" si="590"/>
        <v>-11016</v>
      </c>
      <c r="S91" s="11">
        <f>SUM(S87:S90)</f>
        <v>-9051</v>
      </c>
      <c r="T91" s="11">
        <f>SUM(T87:T90)</f>
        <v>-4187</v>
      </c>
      <c r="U91" s="11">
        <f>SUM(U87:U90)</f>
        <v>-833</v>
      </c>
      <c r="V91" s="11">
        <f t="shared" ref="V91:AF91" si="591">SUM(V87:V90)</f>
        <v>-6227</v>
      </c>
      <c r="W91" s="11">
        <f t="shared" si="591"/>
        <v>-2946</v>
      </c>
      <c r="X91" s="11">
        <f t="shared" si="591"/>
        <v>-10800</v>
      </c>
      <c r="Y91" s="11">
        <f t="shared" si="591"/>
        <v>-7150</v>
      </c>
      <c r="Z91" s="11">
        <f t="shared" si="591"/>
        <v>-6167</v>
      </c>
      <c r="AA91" s="11">
        <f t="shared" si="591"/>
        <v>-8564</v>
      </c>
      <c r="AB91" s="11">
        <f t="shared" si="591"/>
        <v>-2781</v>
      </c>
      <c r="AC91" s="11">
        <f t="shared" si="591"/>
        <v>-18011</v>
      </c>
      <c r="AD91" s="11">
        <f t="shared" si="591"/>
        <v>-16180</v>
      </c>
      <c r="AE91" s="11">
        <f t="shared" si="591"/>
        <v>-16194</v>
      </c>
      <c r="AF91" s="11">
        <f t="shared" si="591"/>
        <v>-24544</v>
      </c>
      <c r="AG91" s="11">
        <f>SUM(AG87:AG90)</f>
        <v>-27777</v>
      </c>
      <c r="AH91" s="11">
        <f>SUM(AH87:AH90)</f>
        <v>-51776</v>
      </c>
      <c r="AI91" s="11">
        <f>SUM(AI87:AI90)</f>
        <v>-63389</v>
      </c>
      <c r="AJ91" s="11">
        <f>SUM(AJ87:AJ90)</f>
        <v>-82433</v>
      </c>
      <c r="AK91" s="11"/>
      <c r="AL91" s="11"/>
      <c r="AM91" s="11"/>
      <c r="AQ91" s="3">
        <f t="shared" ref="AQ91" si="592">SUM(AQ87:AQ90)</f>
        <v>-5319</v>
      </c>
      <c r="AR91" s="3">
        <f t="shared" ref="AR91" si="593">SUM(AR87:AR90)</f>
        <v>-8019</v>
      </c>
      <c r="AS91" s="3">
        <f t="shared" ref="AS91" si="594">SUM(AS87:AS90)</f>
        <v>-10680</v>
      </c>
      <c r="AT91" s="3">
        <f t="shared" ref="AT91:BA91" si="595">SUM(AT87:AT90)</f>
        <v>-19041</v>
      </c>
      <c r="AU91" s="3">
        <f t="shared" si="595"/>
        <v>-13056</v>
      </c>
      <c r="AV91" s="3">
        <f t="shared" si="595"/>
        <v>-13679</v>
      </c>
      <c r="AW91" s="3">
        <f t="shared" si="595"/>
        <v>-21055</v>
      </c>
      <c r="AX91" s="3">
        <f t="shared" si="595"/>
        <v>-23711</v>
      </c>
      <c r="AY91" s="3">
        <f t="shared" si="595"/>
        <v>-31165</v>
      </c>
      <c r="AZ91" s="3">
        <f t="shared" si="595"/>
        <v>-31401</v>
      </c>
      <c r="BA91" s="3">
        <f t="shared" si="595"/>
        <v>-28504</v>
      </c>
      <c r="BB91" s="3">
        <f t="shared" ref="BB91:BH91" si="596">SUM(BB87:BB90)</f>
        <v>-29491</v>
      </c>
      <c r="BC91" s="3">
        <f t="shared" si="596"/>
        <v>-32773</v>
      </c>
      <c r="BD91" s="3">
        <f t="shared" si="596"/>
        <v>-35523</v>
      </c>
      <c r="BE91" s="3">
        <f t="shared" si="596"/>
        <v>-20298</v>
      </c>
      <c r="BF91" s="3">
        <f t="shared" si="596"/>
        <v>-27063</v>
      </c>
      <c r="BG91" s="3">
        <f t="shared" si="596"/>
        <v>-45536</v>
      </c>
      <c r="BH91" s="3">
        <f t="shared" si="596"/>
        <v>-120291</v>
      </c>
    </row>
    <row r="92" spans="2:62" s="3" customFormat="1" x14ac:dyDescent="0.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 spans="2:62" s="3" customFormat="1" x14ac:dyDescent="0.2">
      <c r="B93" s="3" t="s">
        <v>86</v>
      </c>
      <c r="C93" s="11">
        <v>-1175</v>
      </c>
      <c r="D93" s="11">
        <f>-2699-C93</f>
        <v>-1524</v>
      </c>
      <c r="E93" s="11">
        <f>-3566-D93-C93</f>
        <v>-867</v>
      </c>
      <c r="F93" s="11">
        <v>-1041</v>
      </c>
      <c r="G93" s="11">
        <v>-1175</v>
      </c>
      <c r="H93" s="11">
        <f>-2435-G93</f>
        <v>-1260</v>
      </c>
      <c r="I93" s="11">
        <f>-3566-H93-G93</f>
        <v>-1131</v>
      </c>
      <c r="J93" s="11">
        <v>-1199</v>
      </c>
      <c r="K93" s="11">
        <v>-1241</v>
      </c>
      <c r="L93" s="11">
        <f>-2716-K93</f>
        <v>-1475</v>
      </c>
      <c r="M93" s="11">
        <f>-4073-L93-K93</f>
        <v>-1357</v>
      </c>
      <c r="N93" s="11">
        <v>-1647</v>
      </c>
      <c r="O93" s="11">
        <v>-2184</v>
      </c>
      <c r="P93" s="11">
        <f>-4637-O93</f>
        <v>-2453</v>
      </c>
      <c r="Q93" s="11">
        <f>-7239-P93-O93</f>
        <v>-2602</v>
      </c>
      <c r="R93" s="11">
        <v>-2923</v>
      </c>
      <c r="S93" s="11">
        <v>-2916</v>
      </c>
      <c r="T93" s="11">
        <v>-2264</v>
      </c>
      <c r="U93" s="11">
        <f>-7221-T93-S93</f>
        <v>-2041</v>
      </c>
      <c r="V93" s="11">
        <v>-2079</v>
      </c>
      <c r="W93" s="11">
        <v>-1989</v>
      </c>
      <c r="X93" s="11">
        <f>-4725-W93</f>
        <v>-2736</v>
      </c>
      <c r="Y93" s="11">
        <v>-2432</v>
      </c>
      <c r="Z93" s="11">
        <v>-2680</v>
      </c>
      <c r="AA93" s="11">
        <v>-2929</v>
      </c>
      <c r="AB93" s="11">
        <f>-6138-AA93</f>
        <v>-3209</v>
      </c>
      <c r="AC93" s="11">
        <f>-9141-AB93-AA93</f>
        <v>-3003</v>
      </c>
      <c r="AD93" s="11">
        <f>-12190-AC93-AB93-AA93</f>
        <v>-3049</v>
      </c>
      <c r="AE93" s="11">
        <v>-3110</v>
      </c>
      <c r="AF93" s="11">
        <v>-2621</v>
      </c>
      <c r="AG93" s="11">
        <v>-3270</v>
      </c>
      <c r="AH93" s="11">
        <v>-5166</v>
      </c>
      <c r="AI93" s="11">
        <v>-5483</v>
      </c>
      <c r="AJ93" s="11">
        <f>-12056-AI93</f>
        <v>-6573</v>
      </c>
      <c r="AK93" s="11"/>
      <c r="AL93" s="11"/>
      <c r="AM93" s="11"/>
      <c r="AQ93" s="3">
        <f>-72+159</f>
        <v>87</v>
      </c>
      <c r="AR93" s="3">
        <f>143+90</f>
        <v>233</v>
      </c>
      <c r="AS93" s="3">
        <f>294+94</f>
        <v>388</v>
      </c>
      <c r="AT93" s="3">
        <f>-5+86</f>
        <v>81</v>
      </c>
      <c r="AU93" s="3">
        <f>-287+188</f>
        <v>-99</v>
      </c>
      <c r="AV93" s="3">
        <f>-781+481</f>
        <v>-300</v>
      </c>
      <c r="AW93" s="3">
        <v>-2069</v>
      </c>
      <c r="AX93" s="3">
        <f>-2375-47</f>
        <v>-2422</v>
      </c>
      <c r="AY93" s="3">
        <v>-3304</v>
      </c>
      <c r="AZ93" s="3">
        <v>-4166</v>
      </c>
      <c r="BA93" s="3">
        <v>-4993</v>
      </c>
      <c r="BB93" s="3">
        <f t="shared" ref="BB93:BB100" si="597">SUM(G93:J93)</f>
        <v>-4765</v>
      </c>
      <c r="BC93" s="3">
        <f t="shared" ref="BC93:BC100" si="598">SUM(K93:N93)</f>
        <v>-5720</v>
      </c>
      <c r="BD93" s="3">
        <f t="shared" ref="BD93:BD100" si="599">SUM(O93:R93)</f>
        <v>-10162</v>
      </c>
      <c r="BE93" s="3">
        <f t="shared" ref="BE93:BE100" si="600">SUM(S93:V93)</f>
        <v>-9300</v>
      </c>
      <c r="BF93" s="3">
        <f t="shared" ref="BF93:BF98" si="601">SUM(W93:Z93)</f>
        <v>-9837</v>
      </c>
      <c r="BG93" s="3">
        <f t="shared" ref="BG93:BG100" si="602">SUM(AA93:AD93)</f>
        <v>-12190</v>
      </c>
      <c r="BH93" s="3">
        <f t="shared" ref="BH93:BH100" si="603">SUM(AE93:AH93)</f>
        <v>-14167</v>
      </c>
    </row>
    <row r="94" spans="2:62" s="3" customFormat="1" x14ac:dyDescent="0.2">
      <c r="B94" s="3" t="s">
        <v>93</v>
      </c>
      <c r="C94" s="11">
        <v>-3025</v>
      </c>
      <c r="D94" s="11">
        <f>-4225-C94</f>
        <v>-1200</v>
      </c>
      <c r="E94" s="11">
        <f>-12298-D94-C94</f>
        <v>-8073</v>
      </c>
      <c r="F94" s="11">
        <v>-2650</v>
      </c>
      <c r="G94" s="11">
        <v>-3025</v>
      </c>
      <c r="H94" s="11">
        <f>-6602-G94</f>
        <v>-3577</v>
      </c>
      <c r="I94" s="11">
        <f>-12298-H94-G94</f>
        <v>-5696</v>
      </c>
      <c r="J94" s="11">
        <v>-6098</v>
      </c>
      <c r="K94" s="11">
        <v>-8496</v>
      </c>
      <c r="L94" s="11">
        <f>-15348-K94</f>
        <v>-6852</v>
      </c>
      <c r="M94" s="11">
        <f>-23245-L94-K94</f>
        <v>-7897</v>
      </c>
      <c r="N94" s="11">
        <v>-7904</v>
      </c>
      <c r="O94" s="11">
        <v>-11395</v>
      </c>
      <c r="P94" s="11">
        <f>-24191-O94</f>
        <v>-12796</v>
      </c>
      <c r="Q94" s="11">
        <f>-36801-P94-O94</f>
        <v>-12610</v>
      </c>
      <c r="R94" s="11">
        <v>-13473</v>
      </c>
      <c r="S94" s="11">
        <v>-13300</v>
      </c>
      <c r="T94" s="11">
        <v>-15197</v>
      </c>
      <c r="U94" s="11">
        <f>-43889-T94-S94</f>
        <v>-15392</v>
      </c>
      <c r="V94" s="11">
        <v>-15407</v>
      </c>
      <c r="W94" s="11">
        <v>-14557</v>
      </c>
      <c r="X94" s="11">
        <f>-29526-W94</f>
        <v>-14969</v>
      </c>
      <c r="Y94" s="11">
        <v>-15787</v>
      </c>
      <c r="Z94" s="11">
        <v>-16191</v>
      </c>
      <c r="AA94" s="11">
        <v>-15696</v>
      </c>
      <c r="AB94" s="11">
        <f>-31380-AA94</f>
        <v>-15684</v>
      </c>
      <c r="AC94" s="11">
        <f>-46671-AB94-AA94</f>
        <v>-15291</v>
      </c>
      <c r="AD94" s="11">
        <f>-62222-AC94-AB94-AA94</f>
        <v>-15551</v>
      </c>
      <c r="AE94" s="11">
        <v>-15068</v>
      </c>
      <c r="AF94" s="11">
        <v>-13638</v>
      </c>
      <c r="AG94" s="11">
        <v>-11504</v>
      </c>
      <c r="AH94" s="11">
        <v>-5499</v>
      </c>
      <c r="AI94" s="11">
        <v>0</v>
      </c>
      <c r="AJ94" s="11">
        <v>0</v>
      </c>
      <c r="AK94" s="11"/>
      <c r="AL94" s="11"/>
      <c r="AM94" s="11"/>
      <c r="AQ94" s="3">
        <v>0</v>
      </c>
      <c r="AR94" s="3">
        <v>0</v>
      </c>
      <c r="AS94" s="3">
        <v>-801</v>
      </c>
      <c r="AT94" s="3">
        <v>0</v>
      </c>
      <c r="AU94" s="3">
        <v>0</v>
      </c>
      <c r="AV94" s="3">
        <v>0</v>
      </c>
      <c r="AW94" s="3">
        <v>0</v>
      </c>
      <c r="AX94" s="3">
        <v>-1780</v>
      </c>
      <c r="AY94" s="3">
        <v>-3693</v>
      </c>
      <c r="AZ94" s="3">
        <v>-4846</v>
      </c>
      <c r="BA94" s="3">
        <v>-9075</v>
      </c>
      <c r="BB94" s="3">
        <f t="shared" si="597"/>
        <v>-18396</v>
      </c>
      <c r="BC94" s="3">
        <f t="shared" si="598"/>
        <v>-31149</v>
      </c>
      <c r="BD94" s="3">
        <f t="shared" si="599"/>
        <v>-50274</v>
      </c>
      <c r="BE94" s="3">
        <f t="shared" si="600"/>
        <v>-59296</v>
      </c>
      <c r="BF94" s="3">
        <f t="shared" si="601"/>
        <v>-61504</v>
      </c>
      <c r="BG94" s="3">
        <f t="shared" si="602"/>
        <v>-62222</v>
      </c>
      <c r="BH94" s="3">
        <f t="shared" si="603"/>
        <v>-45709</v>
      </c>
    </row>
    <row r="95" spans="2:62" s="3" customFormat="1" x14ac:dyDescent="0.2">
      <c r="B95" s="3" t="s">
        <v>233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f>-2466-AA95</f>
        <v>-2466</v>
      </c>
      <c r="AC95" s="11">
        <f>-4921-AB95-AA95</f>
        <v>-2455</v>
      </c>
      <c r="AD95" s="11">
        <f>-7363-AC95-AB95-AA95</f>
        <v>-2442</v>
      </c>
      <c r="AE95" s="11">
        <v>-2434</v>
      </c>
      <c r="AF95" s="11">
        <v>-2543</v>
      </c>
      <c r="AG95" s="11">
        <v>-2537</v>
      </c>
      <c r="AH95" s="11">
        <v>-2536</v>
      </c>
      <c r="AI95" s="11">
        <v>-2542</v>
      </c>
      <c r="AJ95" s="11">
        <f>-5231-AI95</f>
        <v>-2689</v>
      </c>
      <c r="AK95" s="11"/>
      <c r="AL95" s="11"/>
      <c r="AM95" s="11"/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f t="shared" si="597"/>
        <v>0</v>
      </c>
      <c r="BC95" s="3">
        <f t="shared" si="598"/>
        <v>0</v>
      </c>
      <c r="BD95" s="3">
        <f t="shared" si="599"/>
        <v>0</v>
      </c>
      <c r="BE95" s="3">
        <f t="shared" si="600"/>
        <v>0</v>
      </c>
      <c r="BF95" s="3">
        <f t="shared" si="601"/>
        <v>0</v>
      </c>
      <c r="BG95" s="3">
        <f t="shared" si="602"/>
        <v>-7363</v>
      </c>
      <c r="BH95" s="3">
        <f t="shared" si="603"/>
        <v>-10050</v>
      </c>
    </row>
    <row r="96" spans="2:62" s="3" customFormat="1" x14ac:dyDescent="0.2">
      <c r="B96" s="3" t="s">
        <v>273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f>30499+19063</f>
        <v>49562</v>
      </c>
      <c r="AK96" s="11"/>
      <c r="AL96" s="11"/>
      <c r="AM96" s="11"/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f t="shared" si="598"/>
        <v>0</v>
      </c>
      <c r="BD96" s="3">
        <f t="shared" si="599"/>
        <v>0</v>
      </c>
      <c r="BE96" s="3">
        <v>0</v>
      </c>
      <c r="BF96" s="3">
        <v>0</v>
      </c>
      <c r="BG96" s="3">
        <v>0</v>
      </c>
      <c r="BH96" s="3">
        <f t="shared" si="603"/>
        <v>0</v>
      </c>
    </row>
    <row r="97" spans="2:60" s="3" customFormat="1" x14ac:dyDescent="0.2">
      <c r="B97" s="3" t="s">
        <v>4</v>
      </c>
      <c r="C97" s="11">
        <f>315-345</f>
        <v>-30</v>
      </c>
      <c r="D97" s="11">
        <f>6236-6267-C97</f>
        <v>-1</v>
      </c>
      <c r="E97" s="11">
        <f>317-538-D97-C97</f>
        <v>-190</v>
      </c>
      <c r="F97" s="11">
        <v>-5</v>
      </c>
      <c r="G97" s="11">
        <f>315-345</f>
        <v>-30</v>
      </c>
      <c r="H97" s="11">
        <f>317-393-G97</f>
        <v>-46</v>
      </c>
      <c r="I97" s="11">
        <f>317-538-H97-G97</f>
        <v>-145</v>
      </c>
      <c r="J97" s="11">
        <v>-47</v>
      </c>
      <c r="K97" s="11">
        <f>1898-1947</f>
        <v>-49</v>
      </c>
      <c r="L97" s="11">
        <f>1898-1982-K97</f>
        <v>-35</v>
      </c>
      <c r="M97" s="11">
        <f>11761-2043-L97-K97</f>
        <v>9802</v>
      </c>
      <c r="N97" s="11">
        <v>-57</v>
      </c>
      <c r="O97" s="11">
        <f>900-937</f>
        <v>-37</v>
      </c>
      <c r="P97" s="11">
        <f>7599-8678-O97</f>
        <v>-1042</v>
      </c>
      <c r="Q97" s="11">
        <f>13949-15070-P97-O97</f>
        <v>-42</v>
      </c>
      <c r="R97" s="11">
        <f>6250-6365</f>
        <v>-115</v>
      </c>
      <c r="S97" s="11">
        <f>16422-16420</f>
        <v>2</v>
      </c>
      <c r="T97" s="11">
        <f>12806-13162</f>
        <v>-356</v>
      </c>
      <c r="U97" s="11">
        <f>-45350-T97-S97+44322</f>
        <v>-674</v>
      </c>
      <c r="V97" s="11">
        <f>8550-8718</f>
        <v>-168</v>
      </c>
      <c r="W97" s="11">
        <f>6927-6952</f>
        <v>-25</v>
      </c>
      <c r="X97" s="11">
        <f>8050-8207-W97</f>
        <v>-132</v>
      </c>
      <c r="Y97" s="11">
        <f>1248-1414</f>
        <v>-166</v>
      </c>
      <c r="Z97" s="11">
        <f>1492-1929</f>
        <v>-437</v>
      </c>
      <c r="AA97" s="11">
        <f>1982-3079</f>
        <v>-1097</v>
      </c>
      <c r="AB97" s="11">
        <f>4875-5502-AA97</f>
        <v>470</v>
      </c>
      <c r="AC97" s="11">
        <f>8694-8951-AB97-AA97</f>
        <v>370</v>
      </c>
      <c r="AD97" s="11">
        <f>13589-12701-AC97-AB97-AA97</f>
        <v>1145</v>
      </c>
      <c r="AE97" s="11">
        <f>4532-4521</f>
        <v>11</v>
      </c>
      <c r="AF97" s="11">
        <f>26846-13876</f>
        <v>12970</v>
      </c>
      <c r="AG97" s="11">
        <f>6624-7696</f>
        <v>-1072</v>
      </c>
      <c r="AH97" s="11">
        <f>26562-6333</f>
        <v>20229</v>
      </c>
      <c r="AI97" s="11">
        <f>31379-1477</f>
        <v>29902</v>
      </c>
      <c r="AJ97" s="11">
        <f>56226-AI97-5253</f>
        <v>21071</v>
      </c>
      <c r="AK97" s="11"/>
      <c r="AL97" s="11"/>
      <c r="AM97" s="11"/>
      <c r="AQ97" s="3">
        <v>0</v>
      </c>
      <c r="AR97" s="3">
        <v>0</v>
      </c>
      <c r="AS97" s="3">
        <f>5246-1783</f>
        <v>3463</v>
      </c>
      <c r="AT97" s="3">
        <f>10905-10179</f>
        <v>726</v>
      </c>
      <c r="AU97" s="3">
        <f>16109-14781</f>
        <v>1328</v>
      </c>
      <c r="AV97" s="3">
        <f>-11325+10768</f>
        <v>-557</v>
      </c>
      <c r="AW97" s="3">
        <f>11625-11643</f>
        <v>-18</v>
      </c>
      <c r="AX97" s="3">
        <f>13705-13728</f>
        <v>-23</v>
      </c>
      <c r="AY97" s="3">
        <f>8729-10064</f>
        <v>-1335</v>
      </c>
      <c r="AZ97" s="3">
        <f>4291-4377</f>
        <v>-86</v>
      </c>
      <c r="BA97" s="3">
        <f>6766-6827</f>
        <v>-61</v>
      </c>
      <c r="BB97" s="3">
        <f t="shared" si="597"/>
        <v>-268</v>
      </c>
      <c r="BC97" s="3">
        <f t="shared" si="598"/>
        <v>9661</v>
      </c>
      <c r="BD97" s="3">
        <f t="shared" si="599"/>
        <v>-1236</v>
      </c>
      <c r="BE97" s="3">
        <f t="shared" si="600"/>
        <v>-1196</v>
      </c>
      <c r="BF97" s="3">
        <f t="shared" si="601"/>
        <v>-760</v>
      </c>
      <c r="BG97" s="3">
        <f t="shared" si="602"/>
        <v>888</v>
      </c>
      <c r="BH97" s="3">
        <f>SUM(AE97:AH97)</f>
        <v>32138</v>
      </c>
    </row>
    <row r="98" spans="2:60" s="3" customFormat="1" x14ac:dyDescent="0.2">
      <c r="B98" s="3" t="s">
        <v>94</v>
      </c>
      <c r="C98" s="11">
        <v>0</v>
      </c>
      <c r="D98" s="11">
        <v>0</v>
      </c>
      <c r="E98" s="11">
        <f>202-D98-C98</f>
        <v>202</v>
      </c>
      <c r="F98" s="11">
        <v>950</v>
      </c>
      <c r="G98" s="11">
        <v>47</v>
      </c>
      <c r="H98" s="11">
        <f>184-G98</f>
        <v>137</v>
      </c>
      <c r="I98" s="11">
        <f>202-H98-G98</f>
        <v>18</v>
      </c>
      <c r="J98" s="11">
        <v>18</v>
      </c>
      <c r="K98" s="11">
        <v>1600</v>
      </c>
      <c r="L98" s="11">
        <f>2464-K98</f>
        <v>864</v>
      </c>
      <c r="M98" s="11">
        <f>2462-L98-K98</f>
        <v>-2</v>
      </c>
      <c r="N98" s="11">
        <v>338</v>
      </c>
      <c r="O98" s="11">
        <v>10</v>
      </c>
      <c r="P98" s="11">
        <f>310-O98</f>
        <v>300</v>
      </c>
      <c r="Q98" s="11">
        <f>310-P98-O98</f>
        <v>0</v>
      </c>
      <c r="R98" s="11">
        <v>0</v>
      </c>
      <c r="S98" s="11">
        <v>0</v>
      </c>
      <c r="T98" s="11">
        <v>0</v>
      </c>
      <c r="U98" s="11">
        <f>10-T98-S98</f>
        <v>10</v>
      </c>
      <c r="V98" s="11">
        <v>25</v>
      </c>
      <c r="W98" s="11">
        <v>3</v>
      </c>
      <c r="X98" s="11">
        <f>5-W98</f>
        <v>2</v>
      </c>
      <c r="Y98" s="11">
        <v>3</v>
      </c>
      <c r="Z98" s="11">
        <v>0</v>
      </c>
      <c r="AA98" s="11">
        <v>8</v>
      </c>
      <c r="AB98" s="11">
        <f>8-AA98</f>
        <v>0</v>
      </c>
      <c r="AC98" s="11">
        <f>293-AB98-AA98</f>
        <v>285</v>
      </c>
      <c r="AD98" s="11">
        <f>1154-AC98-AB98-AA98</f>
        <v>861</v>
      </c>
      <c r="AE98" s="11">
        <v>400</v>
      </c>
      <c r="AF98" s="11">
        <v>0</v>
      </c>
      <c r="AG98" s="11">
        <v>0</v>
      </c>
      <c r="AH98" s="11">
        <v>0</v>
      </c>
      <c r="AI98" s="11">
        <v>3200</v>
      </c>
      <c r="AJ98" s="11">
        <f>3758-AI98-686</f>
        <v>-128</v>
      </c>
      <c r="AK98" s="11"/>
      <c r="AL98" s="11"/>
      <c r="AM98" s="11"/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800</v>
      </c>
      <c r="BA98" s="3">
        <v>950</v>
      </c>
      <c r="BB98" s="3">
        <f t="shared" si="597"/>
        <v>220</v>
      </c>
      <c r="BC98" s="3">
        <f t="shared" si="598"/>
        <v>2800</v>
      </c>
      <c r="BD98" s="3">
        <f t="shared" si="599"/>
        <v>310</v>
      </c>
      <c r="BE98" s="3">
        <f t="shared" si="600"/>
        <v>35</v>
      </c>
      <c r="BF98" s="3">
        <f t="shared" si="601"/>
        <v>8</v>
      </c>
      <c r="BG98" s="3">
        <f t="shared" si="602"/>
        <v>1154</v>
      </c>
      <c r="BH98" s="3">
        <f>SUM(AE98:AH98)</f>
        <v>400</v>
      </c>
    </row>
    <row r="99" spans="2:60" s="3" customFormat="1" x14ac:dyDescent="0.2">
      <c r="B99" s="3" t="s">
        <v>90</v>
      </c>
      <c r="C99" s="11">
        <f t="shared" ref="C99:N99" si="604">SUM(C93:C98)</f>
        <v>-4230</v>
      </c>
      <c r="D99" s="11">
        <f t="shared" si="604"/>
        <v>-2725</v>
      </c>
      <c r="E99" s="11">
        <f t="shared" si="604"/>
        <v>-8928</v>
      </c>
      <c r="F99" s="11">
        <f t="shared" si="604"/>
        <v>-2746</v>
      </c>
      <c r="G99" s="11">
        <f t="shared" si="604"/>
        <v>-4183</v>
      </c>
      <c r="H99" s="11">
        <f t="shared" si="604"/>
        <v>-4746</v>
      </c>
      <c r="I99" s="11">
        <f t="shared" si="604"/>
        <v>-6954</v>
      </c>
      <c r="J99" s="11">
        <f t="shared" si="604"/>
        <v>-7326</v>
      </c>
      <c r="K99" s="11">
        <f t="shared" si="604"/>
        <v>-8186</v>
      </c>
      <c r="L99" s="11">
        <f t="shared" si="604"/>
        <v>-7498</v>
      </c>
      <c r="M99" s="11">
        <f t="shared" si="604"/>
        <v>546</v>
      </c>
      <c r="N99" s="11">
        <f t="shared" si="604"/>
        <v>-9270</v>
      </c>
      <c r="O99" s="11">
        <f t="shared" ref="O99:R99" si="605">SUM(O93:O98)</f>
        <v>-13606</v>
      </c>
      <c r="P99" s="11">
        <f t="shared" si="605"/>
        <v>-15991</v>
      </c>
      <c r="Q99" s="11">
        <f t="shared" si="605"/>
        <v>-15254</v>
      </c>
      <c r="R99" s="11">
        <f t="shared" si="605"/>
        <v>-16511</v>
      </c>
      <c r="S99" s="11">
        <f>SUM(S93:S98)</f>
        <v>-16214</v>
      </c>
      <c r="T99" s="11">
        <f>SUM(T93:T98)</f>
        <v>-17817</v>
      </c>
      <c r="U99" s="11">
        <f>SUM(U93:U98)</f>
        <v>-18097</v>
      </c>
      <c r="V99" s="11">
        <f t="shared" ref="V99:AJ99" si="606">SUM(V93:V98)</f>
        <v>-17629</v>
      </c>
      <c r="W99" s="11">
        <f t="shared" si="606"/>
        <v>-16568</v>
      </c>
      <c r="X99" s="11">
        <f t="shared" si="606"/>
        <v>-17835</v>
      </c>
      <c r="Y99" s="11">
        <f t="shared" si="606"/>
        <v>-18382</v>
      </c>
      <c r="Z99" s="11">
        <f t="shared" si="606"/>
        <v>-19308</v>
      </c>
      <c r="AA99" s="11">
        <f t="shared" si="606"/>
        <v>-19714</v>
      </c>
      <c r="AB99" s="11">
        <f t="shared" si="606"/>
        <v>-20889</v>
      </c>
      <c r="AC99" s="11">
        <f t="shared" si="606"/>
        <v>-20094</v>
      </c>
      <c r="AD99" s="11">
        <f t="shared" si="606"/>
        <v>-19036</v>
      </c>
      <c r="AE99" s="11">
        <f t="shared" si="606"/>
        <v>-20201</v>
      </c>
      <c r="AF99" s="11">
        <f t="shared" si="606"/>
        <v>-5832</v>
      </c>
      <c r="AG99" s="11">
        <f t="shared" si="606"/>
        <v>-18383</v>
      </c>
      <c r="AH99" s="11">
        <f t="shared" si="606"/>
        <v>7028</v>
      </c>
      <c r="AI99" s="11">
        <f t="shared" si="606"/>
        <v>25077</v>
      </c>
      <c r="AJ99" s="11">
        <f t="shared" si="606"/>
        <v>61243</v>
      </c>
      <c r="AK99" s="11"/>
      <c r="AL99" s="11"/>
      <c r="AM99" s="11"/>
      <c r="AQ99" s="3">
        <f t="shared" ref="AQ99" si="607">SUM(AQ93:AQ98)</f>
        <v>87</v>
      </c>
      <c r="AR99" s="3">
        <f t="shared" ref="AR99" si="608">SUM(AR93:AR98)</f>
        <v>233</v>
      </c>
      <c r="AS99" s="3">
        <f t="shared" ref="AS99" si="609">SUM(AS93:AS98)</f>
        <v>3050</v>
      </c>
      <c r="AT99" s="3">
        <f t="shared" ref="AT99:BA99" si="610">SUM(AT93:AT98)</f>
        <v>807</v>
      </c>
      <c r="AU99" s="3">
        <f t="shared" si="610"/>
        <v>1229</v>
      </c>
      <c r="AV99" s="3">
        <f t="shared" si="610"/>
        <v>-857</v>
      </c>
      <c r="AW99" s="3">
        <f t="shared" si="610"/>
        <v>-2087</v>
      </c>
      <c r="AX99" s="3">
        <f t="shared" si="610"/>
        <v>-4225</v>
      </c>
      <c r="AY99" s="3">
        <f t="shared" si="610"/>
        <v>-8332</v>
      </c>
      <c r="AZ99" s="3">
        <f t="shared" si="610"/>
        <v>-8298</v>
      </c>
      <c r="BA99" s="3">
        <f t="shared" si="610"/>
        <v>-13179</v>
      </c>
      <c r="BB99" s="3">
        <f t="shared" ref="BB99:BH99" si="611">SUM(BB93:BB98)</f>
        <v>-23209</v>
      </c>
      <c r="BC99" s="3">
        <f t="shared" si="611"/>
        <v>-24408</v>
      </c>
      <c r="BD99" s="3">
        <f t="shared" si="611"/>
        <v>-61362</v>
      </c>
      <c r="BE99" s="3">
        <f t="shared" si="611"/>
        <v>-69757</v>
      </c>
      <c r="BF99" s="3">
        <f t="shared" si="611"/>
        <v>-72093</v>
      </c>
      <c r="BG99" s="3">
        <f t="shared" si="611"/>
        <v>-79733</v>
      </c>
      <c r="BH99" s="3">
        <f t="shared" si="611"/>
        <v>-37388</v>
      </c>
    </row>
    <row r="100" spans="2:60" s="3" customFormat="1" x14ac:dyDescent="0.2">
      <c r="B100" s="3" t="s">
        <v>41</v>
      </c>
      <c r="C100" s="11">
        <v>18</v>
      </c>
      <c r="D100" s="11">
        <f>-166-C100</f>
        <v>-184</v>
      </c>
      <c r="E100" s="11">
        <f>-91-D100-C100</f>
        <v>75</v>
      </c>
      <c r="F100" s="11">
        <v>-107</v>
      </c>
      <c r="G100" s="11">
        <v>18</v>
      </c>
      <c r="H100" s="11">
        <f>31-G100</f>
        <v>13</v>
      </c>
      <c r="I100" s="11">
        <f>-91-H100-G100</f>
        <v>-122</v>
      </c>
      <c r="J100" s="11">
        <v>68</v>
      </c>
      <c r="K100" s="11">
        <v>-272</v>
      </c>
      <c r="L100" s="11">
        <f>-221-K100</f>
        <v>51</v>
      </c>
      <c r="M100" s="11">
        <f>-186-L100-K100</f>
        <v>35</v>
      </c>
      <c r="N100" s="11">
        <v>210</v>
      </c>
      <c r="O100" s="11">
        <v>-143</v>
      </c>
      <c r="P100" s="11">
        <f>40-O100</f>
        <v>183</v>
      </c>
      <c r="Q100" s="11">
        <f>-106-P100-O100</f>
        <v>-146</v>
      </c>
      <c r="R100" s="11">
        <v>-181</v>
      </c>
      <c r="S100" s="11">
        <v>100</v>
      </c>
      <c r="T100" s="11">
        <v>-368</v>
      </c>
      <c r="U100" s="11">
        <f>-643-T100-S100</f>
        <v>-375</v>
      </c>
      <c r="V100" s="11">
        <v>137</v>
      </c>
      <c r="W100" s="11">
        <v>50</v>
      </c>
      <c r="X100" s="11">
        <f>24-W100</f>
        <v>-26</v>
      </c>
      <c r="Y100" s="11">
        <v>-351</v>
      </c>
      <c r="Z100" s="11">
        <v>-94</v>
      </c>
      <c r="AA100" s="11">
        <v>-125</v>
      </c>
      <c r="AB100" s="11">
        <f>-363-AA100</f>
        <v>-238</v>
      </c>
      <c r="AC100" s="11">
        <f>-222-AB100-AA100</f>
        <v>141</v>
      </c>
      <c r="AD100" s="11">
        <f>-612-AC100-AB100-AA100</f>
        <v>-390</v>
      </c>
      <c r="AE100" s="11">
        <v>43</v>
      </c>
      <c r="AF100" s="11">
        <v>401</v>
      </c>
      <c r="AG100" s="11">
        <v>-200</v>
      </c>
      <c r="AH100" s="11">
        <v>-36</v>
      </c>
      <c r="AI100" s="11">
        <v>-123</v>
      </c>
      <c r="AJ100" s="11">
        <f>-154-AI100</f>
        <v>-31</v>
      </c>
      <c r="AK100" s="11"/>
      <c r="AL100" s="11"/>
      <c r="AM100" s="11"/>
      <c r="AQ100" s="3">
        <v>-46</v>
      </c>
      <c r="AR100" s="3">
        <v>11</v>
      </c>
      <c r="AS100" s="3">
        <v>-19</v>
      </c>
      <c r="AT100" s="3">
        <v>22</v>
      </c>
      <c r="AU100" s="3">
        <v>3</v>
      </c>
      <c r="AV100" s="3">
        <v>-3</v>
      </c>
      <c r="AW100" s="3">
        <v>-433</v>
      </c>
      <c r="AX100" s="3">
        <v>-434</v>
      </c>
      <c r="AY100" s="3">
        <v>-170</v>
      </c>
      <c r="AZ100" s="3">
        <v>405</v>
      </c>
      <c r="BA100" s="3">
        <v>-302</v>
      </c>
      <c r="BB100" s="3">
        <f t="shared" si="597"/>
        <v>-23</v>
      </c>
      <c r="BC100" s="3">
        <f t="shared" si="598"/>
        <v>24</v>
      </c>
      <c r="BD100" s="3">
        <f t="shared" si="599"/>
        <v>-287</v>
      </c>
      <c r="BE100" s="3">
        <f t="shared" si="600"/>
        <v>-506</v>
      </c>
      <c r="BF100" s="3">
        <f>SUM(W100:Z100)</f>
        <v>-421</v>
      </c>
      <c r="BG100" s="3">
        <f t="shared" si="602"/>
        <v>-612</v>
      </c>
      <c r="BH100" s="3">
        <f t="shared" si="603"/>
        <v>208</v>
      </c>
    </row>
    <row r="101" spans="2:60" s="3" customFormat="1" x14ac:dyDescent="0.2">
      <c r="B101" s="3" t="s">
        <v>95</v>
      </c>
      <c r="C101" s="11">
        <f t="shared" ref="C101:N101" si="612">+C100+C99+C91+C84</f>
        <v>-416</v>
      </c>
      <c r="D101" s="11">
        <f t="shared" si="612"/>
        <v>3849</v>
      </c>
      <c r="E101" s="11">
        <f t="shared" si="612"/>
        <v>-4102</v>
      </c>
      <c r="F101" s="11">
        <f t="shared" si="612"/>
        <v>3258</v>
      </c>
      <c r="G101" s="11">
        <f t="shared" si="612"/>
        <v>2447</v>
      </c>
      <c r="H101" s="11">
        <f t="shared" si="612"/>
        <v>-2561</v>
      </c>
      <c r="I101" s="11">
        <f t="shared" si="612"/>
        <v>-555</v>
      </c>
      <c r="J101" s="11">
        <f t="shared" si="612"/>
        <v>2466</v>
      </c>
      <c r="K101" s="11">
        <f t="shared" si="612"/>
        <v>1146</v>
      </c>
      <c r="L101" s="11">
        <f t="shared" si="612"/>
        <v>-1902</v>
      </c>
      <c r="M101" s="11">
        <f t="shared" si="612"/>
        <v>2387</v>
      </c>
      <c r="N101" s="11">
        <f t="shared" si="612"/>
        <v>6336</v>
      </c>
      <c r="O101" s="11">
        <f t="shared" ref="O101:R101" si="613">+O100+O99+O91+O84</f>
        <v>157</v>
      </c>
      <c r="P101" s="11">
        <f t="shared" si="613"/>
        <v>-2992</v>
      </c>
      <c r="Q101" s="11">
        <f t="shared" si="613"/>
        <v>89</v>
      </c>
      <c r="R101" s="11">
        <f t="shared" si="613"/>
        <v>-2774</v>
      </c>
      <c r="S101" s="11">
        <f>+S100+S99+S91+S84</f>
        <v>-59</v>
      </c>
      <c r="T101" s="11">
        <f>+T100+T99+T91+T84</f>
        <v>-2950</v>
      </c>
      <c r="U101" s="11">
        <f>+U100+U99+U91+U84</f>
        <v>4048</v>
      </c>
      <c r="V101" s="11">
        <f t="shared" ref="V101:AJ101" si="614">+V100+V99+V91+V84</f>
        <v>-105</v>
      </c>
      <c r="W101" s="11">
        <f t="shared" si="614"/>
        <v>4045</v>
      </c>
      <c r="X101" s="11">
        <f t="shared" si="614"/>
        <v>5</v>
      </c>
      <c r="Y101" s="11">
        <f t="shared" si="614"/>
        <v>4773</v>
      </c>
      <c r="Z101" s="11">
        <f t="shared" si="614"/>
        <v>-6654</v>
      </c>
      <c r="AA101" s="11">
        <f t="shared" si="614"/>
        <v>445</v>
      </c>
      <c r="AB101" s="11">
        <f t="shared" si="614"/>
        <v>2732</v>
      </c>
      <c r="AC101" s="11">
        <f t="shared" si="614"/>
        <v>-7266</v>
      </c>
      <c r="AD101" s="11">
        <f t="shared" si="614"/>
        <v>3507</v>
      </c>
      <c r="AE101" s="11">
        <f t="shared" si="614"/>
        <v>-202</v>
      </c>
      <c r="AF101" s="11">
        <f t="shared" si="614"/>
        <v>-2228</v>
      </c>
      <c r="AG101" s="11">
        <f t="shared" si="614"/>
        <v>2054</v>
      </c>
      <c r="AH101" s="11">
        <f t="shared" si="614"/>
        <v>7618</v>
      </c>
      <c r="AI101" s="11">
        <f t="shared" si="614"/>
        <v>7355</v>
      </c>
      <c r="AJ101" s="11">
        <f t="shared" si="614"/>
        <v>17848</v>
      </c>
      <c r="AK101" s="11"/>
      <c r="AL101" s="11"/>
      <c r="AM101" s="11"/>
      <c r="AQ101" s="3">
        <f t="shared" ref="AQ101" si="615">+AQ100+AQ99+AQ91+AQ84</f>
        <v>2575</v>
      </c>
      <c r="AR101" s="3">
        <f t="shared" ref="AR101" si="616">+AR100+AR99+AR91+AR84</f>
        <v>1541</v>
      </c>
      <c r="AS101" s="3">
        <f t="shared" ref="AS101" si="617">+AS100+AS99+AS91+AS84</f>
        <v>3432</v>
      </c>
      <c r="AT101" s="3">
        <f t="shared" ref="AT101:BA101" si="618">+AT100+AT99+AT91+AT84</f>
        <v>-3647</v>
      </c>
      <c r="AU101" s="3">
        <f t="shared" si="618"/>
        <v>4795</v>
      </c>
      <c r="AV101" s="3">
        <f t="shared" si="618"/>
        <v>4120</v>
      </c>
      <c r="AW101" s="3">
        <f t="shared" si="618"/>
        <v>-551</v>
      </c>
      <c r="AX101" s="3">
        <f t="shared" si="618"/>
        <v>-1798</v>
      </c>
      <c r="AY101" s="3">
        <f t="shared" si="618"/>
        <v>-3631</v>
      </c>
      <c r="AZ101" s="3">
        <f t="shared" si="618"/>
        <v>-2203</v>
      </c>
      <c r="BA101" s="3">
        <f t="shared" si="618"/>
        <v>5986</v>
      </c>
      <c r="BB101" s="3">
        <f t="shared" ref="BB101:BH101" si="619">+BB100+BB99+BB91+BB84</f>
        <v>1797</v>
      </c>
      <c r="BC101" s="3">
        <f t="shared" si="619"/>
        <v>7967</v>
      </c>
      <c r="BD101" s="3">
        <f t="shared" si="619"/>
        <v>-5520</v>
      </c>
      <c r="BE101" s="3">
        <f t="shared" si="619"/>
        <v>934</v>
      </c>
      <c r="BF101" s="3">
        <f t="shared" si="619"/>
        <v>2169</v>
      </c>
      <c r="BG101" s="3">
        <f t="shared" si="619"/>
        <v>-582</v>
      </c>
      <c r="BH101" s="3">
        <f t="shared" si="619"/>
        <v>7242</v>
      </c>
    </row>
    <row r="102" spans="2:60" s="3" customFormat="1" x14ac:dyDescent="0.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T102" s="11"/>
    </row>
    <row r="103" spans="2:60" s="3" customFormat="1" x14ac:dyDescent="0.2">
      <c r="B103" s="3" t="s">
        <v>37</v>
      </c>
      <c r="C103" s="11">
        <f t="shared" ref="C103:R103" si="620">C84-C87</f>
        <v>18911</v>
      </c>
      <c r="D103" s="11">
        <f t="shared" si="620"/>
        <v>15639</v>
      </c>
      <c r="E103" s="11">
        <f t="shared" si="620"/>
        <v>23039</v>
      </c>
      <c r="F103" s="11">
        <f t="shared" si="620"/>
        <v>20068</v>
      </c>
      <c r="G103" s="11">
        <f t="shared" si="620"/>
        <v>16638</v>
      </c>
      <c r="H103" s="11">
        <f t="shared" si="620"/>
        <v>18753</v>
      </c>
      <c r="I103" s="11">
        <f t="shared" si="620"/>
        <v>22198</v>
      </c>
      <c r="J103" s="11">
        <f t="shared" si="620"/>
        <v>20479</v>
      </c>
      <c r="K103" s="11">
        <f t="shared" si="620"/>
        <v>17456</v>
      </c>
      <c r="L103" s="11">
        <f t="shared" si="620"/>
        <v>19384</v>
      </c>
      <c r="M103" s="11">
        <f t="shared" si="620"/>
        <v>22409</v>
      </c>
      <c r="N103" s="11">
        <f t="shared" si="620"/>
        <v>28156</v>
      </c>
      <c r="O103" s="11">
        <f t="shared" si="620"/>
        <v>25231</v>
      </c>
      <c r="P103" s="11">
        <f t="shared" si="620"/>
        <v>27386</v>
      </c>
      <c r="Q103" s="11">
        <f t="shared" si="620"/>
        <v>32358</v>
      </c>
      <c r="R103" s="11">
        <f t="shared" si="620"/>
        <v>31317</v>
      </c>
      <c r="S103" s="11">
        <f t="shared" ref="S103:AG103" si="621">S84+S87</f>
        <v>15320</v>
      </c>
      <c r="T103" s="11">
        <f t="shared" si="621"/>
        <v>12594</v>
      </c>
      <c r="U103" s="11">
        <f t="shared" si="621"/>
        <v>16077</v>
      </c>
      <c r="V103" s="11">
        <f t="shared" si="621"/>
        <v>16019</v>
      </c>
      <c r="W103" s="11">
        <f t="shared" si="621"/>
        <v>17220</v>
      </c>
      <c r="X103" s="11">
        <f t="shared" si="621"/>
        <v>21778</v>
      </c>
      <c r="Y103" s="11">
        <f t="shared" si="621"/>
        <v>22601</v>
      </c>
      <c r="Z103" s="11">
        <f t="shared" si="621"/>
        <v>7896</v>
      </c>
      <c r="AA103" s="11">
        <f t="shared" si="621"/>
        <v>16836</v>
      </c>
      <c r="AB103" s="11">
        <f t="shared" si="621"/>
        <v>13454</v>
      </c>
      <c r="AC103" s="11">
        <f t="shared" si="621"/>
        <v>17637</v>
      </c>
      <c r="AD103" s="11">
        <f t="shared" si="621"/>
        <v>24837</v>
      </c>
      <c r="AE103" s="11">
        <f t="shared" si="621"/>
        <v>18953</v>
      </c>
      <c r="AF103" s="11">
        <f t="shared" si="621"/>
        <v>5301</v>
      </c>
      <c r="AG103" s="11">
        <f t="shared" si="621"/>
        <v>24461</v>
      </c>
      <c r="AH103" s="11">
        <f t="shared" ref="AH103:AJ103" si="622">AH84+AH87</f>
        <v>24551</v>
      </c>
      <c r="AI103" s="11">
        <f t="shared" si="622"/>
        <v>10116</v>
      </c>
      <c r="AJ103" s="11">
        <f t="shared" si="622"/>
        <v>-5855</v>
      </c>
      <c r="AK103" s="11"/>
      <c r="AL103" s="11"/>
      <c r="AM103" s="11"/>
      <c r="AQ103" s="11">
        <f t="shared" ref="AQ103:BA103" si="623">AQ84+AQ87</f>
        <v>5494</v>
      </c>
      <c r="AR103" s="11">
        <f t="shared" si="623"/>
        <v>8506</v>
      </c>
      <c r="AS103" s="11">
        <f t="shared" si="623"/>
        <v>7063</v>
      </c>
      <c r="AT103" s="11">
        <f t="shared" si="623"/>
        <v>11127</v>
      </c>
      <c r="AU103" s="11">
        <f t="shared" si="623"/>
        <v>13346</v>
      </c>
      <c r="AV103" s="11">
        <f t="shared" si="623"/>
        <v>11301</v>
      </c>
      <c r="AW103" s="11">
        <f t="shared" si="623"/>
        <v>12065</v>
      </c>
      <c r="AX103" s="11">
        <f t="shared" si="623"/>
        <v>16657</v>
      </c>
      <c r="AY103" s="11">
        <f t="shared" si="623"/>
        <v>26064</v>
      </c>
      <c r="AZ103" s="11">
        <f t="shared" si="623"/>
        <v>24006</v>
      </c>
      <c r="BA103" s="11">
        <f t="shared" si="623"/>
        <v>22930</v>
      </c>
      <c r="BB103" s="11">
        <f t="shared" ref="BB103:BH103" si="624">BB84+BB87</f>
        <v>30972</v>
      </c>
      <c r="BC103" s="11">
        <f t="shared" si="624"/>
        <v>42843</v>
      </c>
      <c r="BD103" s="11">
        <f t="shared" si="624"/>
        <v>67012</v>
      </c>
      <c r="BE103" s="11">
        <f t="shared" si="624"/>
        <v>60010</v>
      </c>
      <c r="BF103" s="11">
        <f t="shared" si="624"/>
        <v>69495</v>
      </c>
      <c r="BG103" s="11">
        <f t="shared" si="624"/>
        <v>72764</v>
      </c>
      <c r="BH103" s="11">
        <f t="shared" si="624"/>
        <v>73266</v>
      </c>
    </row>
    <row r="104" spans="2:60" s="9" customFormat="1" x14ac:dyDescent="0.2">
      <c r="B104" s="9" t="s">
        <v>205</v>
      </c>
      <c r="C104" s="10"/>
      <c r="D104" s="10"/>
      <c r="E104" s="10"/>
      <c r="F104" s="10"/>
      <c r="G104" s="10">
        <f t="shared" ref="G104" si="625">SUM(D103:G103)</f>
        <v>75384</v>
      </c>
      <c r="H104" s="10">
        <f t="shared" ref="H104" si="626">SUM(E103:H103)</f>
        <v>78498</v>
      </c>
      <c r="I104" s="10">
        <f t="shared" ref="I104" si="627">SUM(F103:I103)</f>
        <v>77657</v>
      </c>
      <c r="J104" s="10">
        <f t="shared" ref="J104" si="628">SUM(G103:J103)</f>
        <v>78068</v>
      </c>
      <c r="K104" s="10">
        <f t="shared" ref="K104" si="629">SUM(H103:K103)</f>
        <v>78886</v>
      </c>
      <c r="L104" s="10">
        <f t="shared" ref="L104" si="630">SUM(I103:L103)</f>
        <v>79517</v>
      </c>
      <c r="M104" s="10">
        <f t="shared" ref="M104" si="631">SUM(J103:M103)</f>
        <v>79728</v>
      </c>
      <c r="N104" s="10">
        <f t="shared" ref="N104" si="632">SUM(K103:N103)</f>
        <v>87405</v>
      </c>
      <c r="O104" s="10">
        <f t="shared" ref="O104" si="633">SUM(L103:O103)</f>
        <v>95180</v>
      </c>
      <c r="P104" s="10">
        <f t="shared" ref="P104" si="634">SUM(M103:P103)</f>
        <v>103182</v>
      </c>
      <c r="Q104" s="10">
        <f t="shared" ref="Q104" si="635">SUM(N103:Q103)</f>
        <v>113131</v>
      </c>
      <c r="R104" s="10">
        <f t="shared" ref="R104:X104" si="636">SUM(O103:R103)</f>
        <v>116292</v>
      </c>
      <c r="S104" s="10">
        <f t="shared" si="636"/>
        <v>106381</v>
      </c>
      <c r="T104" s="10">
        <f t="shared" si="636"/>
        <v>91589</v>
      </c>
      <c r="U104" s="10">
        <f t="shared" si="636"/>
        <v>75308</v>
      </c>
      <c r="V104" s="10">
        <f t="shared" si="636"/>
        <v>60010</v>
      </c>
      <c r="W104" s="10">
        <f t="shared" si="636"/>
        <v>61910</v>
      </c>
      <c r="X104" s="10">
        <f t="shared" si="636"/>
        <v>71094</v>
      </c>
      <c r="Y104" s="10">
        <f t="shared" ref="Y104:AC104" si="637">SUM(V103:Y103)</f>
        <v>77618</v>
      </c>
      <c r="Z104" s="10">
        <f t="shared" si="637"/>
        <v>69495</v>
      </c>
      <c r="AA104" s="10">
        <f t="shared" si="637"/>
        <v>69111</v>
      </c>
      <c r="AB104" s="10">
        <f t="shared" si="637"/>
        <v>60787</v>
      </c>
      <c r="AC104" s="10">
        <f t="shared" si="637"/>
        <v>55823</v>
      </c>
      <c r="AD104" s="10">
        <f t="shared" ref="AD104:AJ104" si="638">SUM(AA103:AD103)</f>
        <v>72764</v>
      </c>
      <c r="AE104" s="10">
        <f t="shared" si="638"/>
        <v>74881</v>
      </c>
      <c r="AF104" s="10">
        <f t="shared" si="638"/>
        <v>66728</v>
      </c>
      <c r="AG104" s="10">
        <f t="shared" si="638"/>
        <v>73552</v>
      </c>
      <c r="AH104" s="10">
        <f t="shared" si="638"/>
        <v>73266</v>
      </c>
      <c r="AI104" s="10">
        <f t="shared" si="638"/>
        <v>64429</v>
      </c>
      <c r="AJ104" s="10">
        <f t="shared" si="638"/>
        <v>53273</v>
      </c>
      <c r="AK104" s="10"/>
      <c r="AL104" s="10"/>
      <c r="AM104" s="10"/>
      <c r="AQ104" s="10" t="s">
        <v>239</v>
      </c>
      <c r="AR104" s="10" t="s">
        <v>239</v>
      </c>
      <c r="AS104" s="10" t="s">
        <v>239</v>
      </c>
      <c r="AT104" s="10" t="s">
        <v>239</v>
      </c>
      <c r="AU104" s="10" t="s">
        <v>239</v>
      </c>
      <c r="AV104" s="10" t="s">
        <v>239</v>
      </c>
      <c r="AW104" s="10" t="s">
        <v>239</v>
      </c>
      <c r="AX104" s="10" t="s">
        <v>239</v>
      </c>
      <c r="AY104" s="10" t="s">
        <v>239</v>
      </c>
      <c r="AZ104" s="10" t="s">
        <v>239</v>
      </c>
      <c r="BA104" s="10" t="s">
        <v>239</v>
      </c>
      <c r="BB104" s="10" t="s">
        <v>239</v>
      </c>
      <c r="BC104" s="10" t="s">
        <v>239</v>
      </c>
      <c r="BD104" s="10" t="s">
        <v>239</v>
      </c>
      <c r="BE104" s="10" t="s">
        <v>239</v>
      </c>
      <c r="BF104" s="10" t="s">
        <v>239</v>
      </c>
      <c r="BG104" s="10" t="s">
        <v>239</v>
      </c>
      <c r="BH104" s="10" t="s">
        <v>239</v>
      </c>
    </row>
    <row r="105" spans="2:60" s="9" customFormat="1" x14ac:dyDescent="0.2">
      <c r="B105" s="9" t="s">
        <v>81</v>
      </c>
      <c r="C105" s="10"/>
      <c r="D105" s="10"/>
      <c r="E105" s="10"/>
      <c r="F105" s="10"/>
      <c r="G105" s="10"/>
      <c r="H105" s="10"/>
      <c r="I105" s="10"/>
      <c r="J105" s="10"/>
      <c r="K105" s="16">
        <f t="shared" ref="K105" si="639">K104/G104-1</f>
        <v>4.6455481269234822E-2</v>
      </c>
      <c r="L105" s="16">
        <f t="shared" ref="L105" si="640">L104/H104-1</f>
        <v>1.298122245152733E-2</v>
      </c>
      <c r="M105" s="16">
        <f t="shared" ref="M105" si="641">M104/I104-1</f>
        <v>2.6668555313751563E-2</v>
      </c>
      <c r="N105" s="16">
        <f t="shared" ref="N105" si="642">N104/J104-1</f>
        <v>0.119600860788031</v>
      </c>
      <c r="O105" s="16">
        <f t="shared" ref="O105" si="643">O104/K104-1</f>
        <v>0.206551225819537</v>
      </c>
      <c r="P105" s="16">
        <f t="shared" ref="P105" si="644">P104/L104-1</f>
        <v>0.29760931624684028</v>
      </c>
      <c r="Q105" s="16">
        <f t="shared" ref="Q105" si="645">Q104/M104-1</f>
        <v>0.41896197070038133</v>
      </c>
      <c r="R105" s="16">
        <f t="shared" ref="R105" si="646">R104/N104-1</f>
        <v>0.33049596704993989</v>
      </c>
      <c r="S105" s="16">
        <f t="shared" ref="S105" si="647">S104/O104-1</f>
        <v>0.11768228619457877</v>
      </c>
      <c r="T105" s="16">
        <f t="shared" ref="T105" si="648">T104/P104-1</f>
        <v>-0.11235486809714867</v>
      </c>
      <c r="U105" s="16">
        <f t="shared" ref="U105" si="649">U104/Q104-1</f>
        <v>-0.33432922894697292</v>
      </c>
      <c r="V105" s="16">
        <f t="shared" ref="V105" si="650">V104/R104-1</f>
        <v>-0.4839713823822791</v>
      </c>
      <c r="W105" s="16">
        <f t="shared" ref="W105" si="651">W104/S104-1</f>
        <v>-0.4180351754542635</v>
      </c>
      <c r="X105" s="16">
        <f t="shared" ref="X105" si="652">X104/T104-1</f>
        <v>-0.22377141359770281</v>
      </c>
      <c r="Y105" s="16">
        <f t="shared" ref="Y105" si="653">Y104/U104-1</f>
        <v>3.0674031975354454E-2</v>
      </c>
      <c r="Z105" s="16">
        <f t="shared" ref="Z105" si="654">Z104/V104-1</f>
        <v>0.15805699050158317</v>
      </c>
      <c r="AA105" s="16">
        <f t="shared" ref="AA105" si="655">AA104/W104-1</f>
        <v>0.11631400419964466</v>
      </c>
      <c r="AB105" s="16">
        <f t="shared" ref="AB105" si="656">AB104/X104-1</f>
        <v>-0.14497707260809634</v>
      </c>
      <c r="AC105" s="16">
        <f t="shared" ref="AC105:AE105" si="657">AC104/Y104-1</f>
        <v>-0.28079826844288691</v>
      </c>
      <c r="AD105" s="16">
        <f t="shared" si="657"/>
        <v>4.7039355349305811E-2</v>
      </c>
      <c r="AE105" s="16">
        <f t="shared" si="657"/>
        <v>8.3488880207202909E-2</v>
      </c>
      <c r="AF105" s="16">
        <f>AF104/AB104-1</f>
        <v>9.7734713014295815E-2</v>
      </c>
      <c r="AG105" s="16">
        <f>AG104/AC104-1</f>
        <v>0.31759310678394215</v>
      </c>
      <c r="AH105" s="16">
        <f>AH104/AD104-1</f>
        <v>6.8990159969215537E-3</v>
      </c>
      <c r="AI105" s="16">
        <f>AI104/AE104-1</f>
        <v>-0.13958146926456649</v>
      </c>
      <c r="AJ105" s="16">
        <f>AJ104/AF104-1</f>
        <v>-0.2016394916676657</v>
      </c>
      <c r="AK105" s="10"/>
      <c r="AL105" s="10"/>
      <c r="AM105" s="10"/>
      <c r="AR105" s="16">
        <f t="shared" ref="AR105:AT105" si="658">+AR103/AQ103-1</f>
        <v>0.54823443756825618</v>
      </c>
      <c r="AS105" s="16">
        <f t="shared" si="658"/>
        <v>-0.16964495650129319</v>
      </c>
      <c r="AT105" s="16">
        <f t="shared" si="658"/>
        <v>0.57539289253858139</v>
      </c>
      <c r="AU105" s="16">
        <f t="shared" ref="AU105" si="659">+AU103/AT103-1</f>
        <v>0.19942482250381954</v>
      </c>
      <c r="AV105" s="16">
        <f t="shared" ref="AV105" si="660">+AV103/AU103-1</f>
        <v>-0.15322943203956241</v>
      </c>
      <c r="AW105" s="16">
        <f t="shared" ref="AW105" si="661">+AW103/AV103-1</f>
        <v>6.7604636757809144E-2</v>
      </c>
      <c r="AX105" s="16">
        <f t="shared" ref="AX105" si="662">+AX103/AW103-1</f>
        <v>0.38060505594695404</v>
      </c>
      <c r="AY105" s="16">
        <f t="shared" ref="AY105" si="663">+AY103/AX103-1</f>
        <v>0.56474755358107709</v>
      </c>
      <c r="AZ105" s="16">
        <f t="shared" ref="AZ105:BB105" si="664">+AZ103/AY103-1</f>
        <v>-7.8959484346224684E-2</v>
      </c>
      <c r="BA105" s="16">
        <f t="shared" si="664"/>
        <v>-4.4822127801382949E-2</v>
      </c>
      <c r="BB105" s="16">
        <f t="shared" si="664"/>
        <v>0.35071958133449632</v>
      </c>
      <c r="BC105" s="16">
        <f t="shared" ref="BC105" si="665">+BC103/BB103-1</f>
        <v>0.38328167376985656</v>
      </c>
      <c r="BD105" s="16">
        <f>+BD103/BC103-1</f>
        <v>0.56412949606703555</v>
      </c>
      <c r="BE105" s="16">
        <f>+BE103/BD103-1</f>
        <v>-0.10448874828388943</v>
      </c>
      <c r="BF105" s="16">
        <f>+BF103/BE103-1</f>
        <v>0.15805699050158317</v>
      </c>
      <c r="BG105" s="16">
        <f>+BG103/BF103-1</f>
        <v>4.7039355349305811E-2</v>
      </c>
      <c r="BH105" s="16">
        <f>+BH103/BG103-1</f>
        <v>6.8990159969215537E-3</v>
      </c>
    </row>
    <row r="106" spans="2:60" s="9" customFormat="1" x14ac:dyDescent="0.2">
      <c r="B106" s="9" t="s">
        <v>268</v>
      </c>
      <c r="C106" s="10"/>
      <c r="D106" s="10"/>
      <c r="E106" s="10"/>
      <c r="F106" s="10"/>
      <c r="G106" s="16">
        <f t="shared" ref="G106" si="666">+G87/C87-1</f>
        <v>-0.36194799834915392</v>
      </c>
      <c r="H106" s="16">
        <f t="shared" ref="H106" si="667">+H87/D87-1</f>
        <v>0.11240239694933729</v>
      </c>
      <c r="I106" s="16">
        <f t="shared" ref="I106" si="668">+I87/E87-1</f>
        <v>0.42627118644067807</v>
      </c>
      <c r="J106" s="16">
        <f t="shared" ref="J106" si="669">+J87/F87-1</f>
        <v>-0.14531845784493713</v>
      </c>
      <c r="K106" s="16">
        <f t="shared" ref="K106" si="670">+K87/G87-1</f>
        <v>0.29473911168607159</v>
      </c>
      <c r="L106" s="16">
        <f t="shared" ref="L106" si="671">+L87/H87-1</f>
        <v>-0.11998041136141036</v>
      </c>
      <c r="M106" s="16">
        <f t="shared" ref="M106" si="672">+M87/I87-1</f>
        <v>-0.19696969696969702</v>
      </c>
      <c r="N106" s="16">
        <f t="shared" ref="N106" si="673">+N87/J87-1</f>
        <v>-9.4679444811632485E-2</v>
      </c>
      <c r="O106" s="16">
        <f t="shared" ref="O106" si="674">+O87/K87-1</f>
        <v>-1.0491257285595301E-2</v>
      </c>
      <c r="P106" s="16">
        <f t="shared" ref="P106" si="675">+P87/L87-1</f>
        <v>1.9476905954368462E-2</v>
      </c>
      <c r="Q106" s="16">
        <f t="shared" ref="Q106" si="676">+Q87/M87-1</f>
        <v>0.26137624861265252</v>
      </c>
      <c r="R106" s="16">
        <f t="shared" ref="R106" si="677">+R87/N87-1</f>
        <v>0.16499361197298779</v>
      </c>
      <c r="S106" s="16">
        <f t="shared" ref="S106" si="678">+S87/O87-1</f>
        <v>0.64692022887916534</v>
      </c>
      <c r="T106" s="16">
        <f t="shared" ref="T106" si="679">+T87/P87-1</f>
        <v>0.24235807860262004</v>
      </c>
      <c r="U106" s="16">
        <f t="shared" ref="U106" si="680">+U87/Q87-1</f>
        <v>6.7018624431734786E-2</v>
      </c>
      <c r="V106" s="16">
        <f t="shared" ref="V106" si="681">+V87/R87-1</f>
        <v>0.18987936706877639</v>
      </c>
      <c r="W106" s="16">
        <f t="shared" ref="W106" si="682">+W87/S87-1</f>
        <v>-0.35734723073778862</v>
      </c>
      <c r="X106" s="16">
        <f t="shared" ref="X106" si="683">+X87/T87-1</f>
        <v>8.7873462214411724E-3</v>
      </c>
      <c r="Y106" s="16">
        <f t="shared" ref="Y106" si="684">+Y87/U87-1</f>
        <v>0.1070643210555251</v>
      </c>
      <c r="Z106" s="16">
        <f t="shared" ref="Z106" si="685">+Z87/V87-1</f>
        <v>0.45082290980908502</v>
      </c>
      <c r="AA106" s="16">
        <f t="shared" ref="AA106" si="686">+AA87/W87-1</f>
        <v>0.91000159007791392</v>
      </c>
      <c r="AB106" s="16">
        <f t="shared" ref="AB106" si="687">+AB87/X87-1</f>
        <v>0.9143437862950059</v>
      </c>
      <c r="AC106" s="16">
        <f t="shared" ref="AC106" si="688">+AC87/Y87-1</f>
        <v>0.62147734326505266</v>
      </c>
      <c r="AD106" s="16">
        <f t="shared" ref="AD106:AJ106" si="689">+AD87/Z87-1</f>
        <v>0.29558036119430064</v>
      </c>
      <c r="AE106" s="16">
        <f t="shared" si="689"/>
        <v>0.43165168165168155</v>
      </c>
      <c r="AF106" s="16">
        <f t="shared" si="689"/>
        <v>0.7022599726983163</v>
      </c>
      <c r="AG106" s="16">
        <f t="shared" si="689"/>
        <v>0.83393308322486792</v>
      </c>
      <c r="AH106" s="16">
        <f t="shared" si="689"/>
        <v>0.95089660969459233</v>
      </c>
      <c r="AI106" s="16">
        <f t="shared" si="689"/>
        <v>1.0744315869046925</v>
      </c>
      <c r="AJ106" s="16">
        <f t="shared" si="689"/>
        <v>1.0014256437672637</v>
      </c>
      <c r="AK106" s="10"/>
      <c r="AL106" s="10"/>
      <c r="AM106" s="10"/>
      <c r="AR106" s="18">
        <f t="shared" ref="AR106:AT106" si="690">+AR87/AQ87-1</f>
        <v>-0.65663416701992372</v>
      </c>
      <c r="AS106" s="18">
        <f t="shared" si="690"/>
        <v>3.9604938271604935</v>
      </c>
      <c r="AT106" s="18">
        <f t="shared" si="690"/>
        <v>-0.14435042309606771</v>
      </c>
      <c r="AU106" s="18">
        <f t="shared" ref="AU106" si="691">+AU87/AT87-1</f>
        <v>-4.7993019197207665E-2</v>
      </c>
      <c r="AV106" s="18">
        <f t="shared" ref="AV106" si="692">+AV87/AU87-1</f>
        <v>1.2480904369080354</v>
      </c>
      <c r="AW106" s="18">
        <f t="shared" ref="AW106" si="693">+AW87/AV87-1</f>
        <v>0.48939929328621901</v>
      </c>
      <c r="AX106" s="18">
        <f t="shared" ref="AX106" si="694">+AX87/AW87-1</f>
        <v>-9.5264166438543629E-2</v>
      </c>
      <c r="AY106" s="18">
        <f t="shared" ref="AY106" si="695">+AY87/AX87-1</f>
        <v>5.7488653555219926E-3</v>
      </c>
      <c r="AZ106" s="18">
        <f t="shared" ref="AZ106:BB106" si="696">+AZ87/AY87-1</f>
        <v>0.31217408744484554</v>
      </c>
      <c r="BA106" s="18">
        <f t="shared" si="696"/>
        <v>0.91371799770729845</v>
      </c>
      <c r="BB106" s="18">
        <f t="shared" si="696"/>
        <v>-5.9622219559921752E-2</v>
      </c>
      <c r="BC106" s="18">
        <f t="shared" ref="BC106" si="697">+BC87/BB87-1</f>
        <v>-5.3804994054696742E-2</v>
      </c>
      <c r="BD106" s="18">
        <f t="shared" ref="BD106:BG106" si="698">+BD87/BC87-1</f>
        <v>0.10587496072887204</v>
      </c>
      <c r="BE106" s="18">
        <f t="shared" si="698"/>
        <v>0.27780032467532467</v>
      </c>
      <c r="BF106" s="18">
        <f t="shared" si="698"/>
        <v>2.4329045577259123E-2</v>
      </c>
      <c r="BG106" s="18">
        <f t="shared" si="698"/>
        <v>0.62894173824067479</v>
      </c>
      <c r="BH106" s="18">
        <f>+BH87/BG87-1</f>
        <v>0.74068716094032561</v>
      </c>
    </row>
    <row r="107" spans="2:60" x14ac:dyDescent="0.2">
      <c r="V107" s="11"/>
    </row>
    <row r="108" spans="2:60" s="3" customFormat="1" x14ac:dyDescent="0.2">
      <c r="B108" s="3" t="s">
        <v>52</v>
      </c>
      <c r="C108" s="11"/>
      <c r="D108" s="11"/>
      <c r="E108" s="11"/>
      <c r="F108" s="11">
        <v>98771</v>
      </c>
      <c r="G108" s="11">
        <v>103459</v>
      </c>
      <c r="H108" s="11">
        <v>107646</v>
      </c>
      <c r="I108" s="11">
        <v>114096</v>
      </c>
      <c r="J108" s="11">
        <v>118899</v>
      </c>
      <c r="K108" s="11">
        <v>123048</v>
      </c>
      <c r="L108" s="11">
        <v>127498</v>
      </c>
      <c r="M108" s="11">
        <v>132121</v>
      </c>
      <c r="N108" s="11">
        <v>135301</v>
      </c>
      <c r="O108" s="11">
        <v>139995</v>
      </c>
      <c r="P108" s="11">
        <v>144056</v>
      </c>
      <c r="Q108" s="11">
        <v>150028</v>
      </c>
      <c r="R108" s="11">
        <v>156500</v>
      </c>
      <c r="S108" s="11">
        <v>163906</v>
      </c>
      <c r="T108" s="11">
        <v>174014</v>
      </c>
      <c r="U108" s="11">
        <v>186779</v>
      </c>
      <c r="V108" s="11">
        <v>190234</v>
      </c>
      <c r="W108" s="11">
        <v>190711</v>
      </c>
      <c r="X108" s="11">
        <v>181798</v>
      </c>
      <c r="Y108" s="11">
        <v>182381</v>
      </c>
      <c r="Z108" s="11">
        <v>182502</v>
      </c>
      <c r="AA108" s="11">
        <v>180895</v>
      </c>
      <c r="AB108" s="11">
        <v>181798</v>
      </c>
      <c r="AC108" s="11">
        <v>181269</v>
      </c>
      <c r="AD108" s="11">
        <v>182323</v>
      </c>
      <c r="AE108" s="11">
        <v>185719</v>
      </c>
      <c r="AF108" s="11">
        <v>187103</v>
      </c>
      <c r="AG108" s="11">
        <v>190167</v>
      </c>
      <c r="AH108" s="11">
        <v>190820</v>
      </c>
      <c r="AI108" s="11">
        <v>194668</v>
      </c>
      <c r="AJ108" s="11">
        <v>198933</v>
      </c>
      <c r="AK108" s="11"/>
      <c r="AL108" s="11"/>
      <c r="AM108" s="11"/>
      <c r="AR108" s="3">
        <v>19835</v>
      </c>
      <c r="AS108" s="3">
        <v>24400</v>
      </c>
      <c r="AT108" s="3">
        <v>32467</v>
      </c>
      <c r="AU108" s="3">
        <v>53861</v>
      </c>
      <c r="AV108" s="3">
        <v>47756</v>
      </c>
      <c r="AW108" s="3">
        <v>53600</v>
      </c>
      <c r="AX108" s="3">
        <v>61814</v>
      </c>
      <c r="AY108" s="3">
        <v>72053</v>
      </c>
      <c r="AZ108" s="3">
        <v>80110</v>
      </c>
      <c r="BA108" s="3">
        <v>98771</v>
      </c>
      <c r="BB108" s="3">
        <f t="shared" ref="BB108" si="699">+J108</f>
        <v>118899</v>
      </c>
      <c r="BC108" s="3">
        <f>+N108</f>
        <v>135301</v>
      </c>
      <c r="BD108" s="3">
        <f>+R108</f>
        <v>156500</v>
      </c>
      <c r="BE108" s="3">
        <f>V108</f>
        <v>190234</v>
      </c>
      <c r="BF108" s="3">
        <f>W108</f>
        <v>190711</v>
      </c>
      <c r="BG108" s="3">
        <f>X108</f>
        <v>181798</v>
      </c>
      <c r="BH108" s="3">
        <f>+AH108</f>
        <v>190820</v>
      </c>
    </row>
    <row r="109" spans="2:60" x14ac:dyDescent="0.2">
      <c r="B109" s="3" t="s">
        <v>81</v>
      </c>
      <c r="S109" s="15">
        <f t="shared" ref="S109:AJ109" si="700">+S108/O108-1</f>
        <v>0.17079895710561099</v>
      </c>
      <c r="T109" s="15">
        <f t="shared" si="700"/>
        <v>0.20796079302493475</v>
      </c>
      <c r="U109" s="15">
        <f t="shared" si="700"/>
        <v>0.24496094062441687</v>
      </c>
      <c r="V109" s="15">
        <f t="shared" si="700"/>
        <v>0.21555271565495215</v>
      </c>
      <c r="W109" s="15">
        <f t="shared" si="700"/>
        <v>0.16353885763791443</v>
      </c>
      <c r="X109" s="15">
        <f t="shared" si="700"/>
        <v>4.4732033054811771E-2</v>
      </c>
      <c r="Y109" s="15">
        <f t="shared" si="700"/>
        <v>-2.3546544311726647E-2</v>
      </c>
      <c r="Z109" s="15">
        <f t="shared" si="700"/>
        <v>-4.0644679710251541E-2</v>
      </c>
      <c r="AA109" s="15">
        <f t="shared" si="700"/>
        <v>-5.1470549679882072E-2</v>
      </c>
      <c r="AB109" s="15">
        <f t="shared" si="700"/>
        <v>0</v>
      </c>
      <c r="AC109" s="15">
        <f t="shared" si="700"/>
        <v>-6.0971263453978297E-3</v>
      </c>
      <c r="AD109" s="15">
        <f t="shared" si="700"/>
        <v>-9.8081116919268574E-4</v>
      </c>
      <c r="AE109" s="15">
        <f t="shared" si="700"/>
        <v>2.6667403742502538E-2</v>
      </c>
      <c r="AF109" s="15">
        <f t="shared" si="700"/>
        <v>2.9180739062035776E-2</v>
      </c>
      <c r="AG109" s="15">
        <f t="shared" si="700"/>
        <v>4.9087268093275682E-2</v>
      </c>
      <c r="AH109" s="15">
        <f t="shared" si="700"/>
        <v>4.6604103706060052E-2</v>
      </c>
      <c r="AI109" s="15">
        <f t="shared" si="700"/>
        <v>4.8185699901464041E-2</v>
      </c>
      <c r="AJ109" s="15">
        <f t="shared" si="700"/>
        <v>6.3227206405028324E-2</v>
      </c>
      <c r="AS109" s="5">
        <f t="shared" ref="AS109" si="701">+AS108/AR108-1</f>
        <v>0.23014872699773137</v>
      </c>
      <c r="AT109" s="5">
        <f t="shared" ref="AT109:BB109" si="702">+AT108/AS108-1</f>
        <v>0.33061475409836061</v>
      </c>
      <c r="AU109" s="5">
        <f t="shared" si="702"/>
        <v>0.65894600671451009</v>
      </c>
      <c r="AV109" s="5">
        <f t="shared" si="702"/>
        <v>-0.1133473199532129</v>
      </c>
      <c r="AW109" s="5">
        <f t="shared" si="702"/>
        <v>0.12237205796130324</v>
      </c>
      <c r="AX109" s="5">
        <f t="shared" si="702"/>
        <v>0.15324626865671642</v>
      </c>
      <c r="AY109" s="5">
        <f t="shared" si="702"/>
        <v>0.1656420875529816</v>
      </c>
      <c r="AZ109" s="5">
        <f t="shared" si="702"/>
        <v>0.11182046549068048</v>
      </c>
      <c r="BA109" s="5">
        <f t="shared" si="702"/>
        <v>0.23294220446885539</v>
      </c>
      <c r="BB109" s="5">
        <f t="shared" si="702"/>
        <v>0.20378451164815581</v>
      </c>
      <c r="BC109" s="5">
        <f t="shared" ref="BC109:BH109" si="703">+BC108/BB108-1</f>
        <v>0.13794901555101391</v>
      </c>
      <c r="BD109" s="5">
        <f t="shared" si="703"/>
        <v>0.15668029061130362</v>
      </c>
      <c r="BE109" s="5">
        <f t="shared" si="703"/>
        <v>0.21555271565495215</v>
      </c>
      <c r="BF109" s="5">
        <f t="shared" si="703"/>
        <v>2.5074382076810675E-3</v>
      </c>
      <c r="BG109" s="5">
        <f t="shared" si="703"/>
        <v>-4.6735636643927214E-2</v>
      </c>
      <c r="BH109" s="5">
        <f t="shared" si="703"/>
        <v>4.9626508542448322E-2</v>
      </c>
    </row>
    <row r="110" spans="2:60" x14ac:dyDescent="0.2">
      <c r="B110" s="3" t="s">
        <v>100</v>
      </c>
      <c r="C110" s="11"/>
      <c r="E110" s="11"/>
      <c r="F110" s="11">
        <f t="shared" ref="F110:I110" si="704">+F19/F108*1000</f>
        <v>397.64708264571584</v>
      </c>
      <c r="G110" s="11">
        <f t="shared" si="704"/>
        <v>351.24058805903792</v>
      </c>
      <c r="H110" s="11">
        <f t="shared" si="704"/>
        <v>361.7784218642588</v>
      </c>
      <c r="I110" s="11">
        <f t="shared" si="704"/>
        <v>354.9554760903099</v>
      </c>
      <c r="J110" s="11">
        <f>+J19/J108*1000</f>
        <v>387.51377219320597</v>
      </c>
      <c r="K110" s="11">
        <f>+K19/K108*1000</f>
        <v>334.49548143813797</v>
      </c>
      <c r="L110" s="11">
        <f>+L19/L108*1000</f>
        <v>300.37333918963435</v>
      </c>
      <c r="M110" s="11">
        <f>+M19/M108*1000</f>
        <v>349.47510236828361</v>
      </c>
      <c r="N110" s="11">
        <f>+N19/N108*1000</f>
        <v>420.52904265304761</v>
      </c>
      <c r="O110" s="11">
        <f t="shared" ref="O110:AH110" si="705">+O19/O108*1000</f>
        <v>395.11411121825779</v>
      </c>
      <c r="P110" s="11">
        <f t="shared" si="705"/>
        <v>429.55517298828232</v>
      </c>
      <c r="Q110" s="11">
        <f t="shared" si="705"/>
        <v>434.03897939051376</v>
      </c>
      <c r="R110" s="11">
        <f t="shared" si="705"/>
        <v>481.30990415335464</v>
      </c>
      <c r="S110" s="11">
        <f t="shared" si="705"/>
        <v>414.93905043134475</v>
      </c>
      <c r="T110" s="11">
        <f t="shared" si="705"/>
        <v>400.45628512648409</v>
      </c>
      <c r="U110" s="11">
        <f t="shared" si="705"/>
        <v>369.91310586307884</v>
      </c>
      <c r="V110" s="11">
        <f t="shared" si="705"/>
        <v>399.76029521536634</v>
      </c>
      <c r="W110" s="11">
        <f t="shared" si="705"/>
        <v>365.93064899245451</v>
      </c>
      <c r="X110" s="11">
        <f t="shared" si="705"/>
        <v>410.36755079813861</v>
      </c>
      <c r="Y110" s="11">
        <f t="shared" si="705"/>
        <v>420.50981187733373</v>
      </c>
      <c r="Z110" s="11">
        <f t="shared" si="705"/>
        <v>472.92632409507837</v>
      </c>
      <c r="AA110" s="11">
        <f t="shared" si="705"/>
        <v>445.22513060062471</v>
      </c>
      <c r="AB110" s="11">
        <f t="shared" si="705"/>
        <v>466.1327407342215</v>
      </c>
      <c r="AC110" s="11">
        <f t="shared" si="705"/>
        <v>486.9448168192024</v>
      </c>
      <c r="AD110" s="11">
        <f t="shared" si="705"/>
        <v>529.11042490525062</v>
      </c>
      <c r="AE110" s="11">
        <f t="shared" si="705"/>
        <v>485.86305116870108</v>
      </c>
      <c r="AF110" s="11">
        <f t="shared" si="705"/>
        <v>515.37388497244831</v>
      </c>
      <c r="AG110" s="11">
        <f t="shared" si="705"/>
        <v>538.19011710759492</v>
      </c>
      <c r="AH110" s="11">
        <f t="shared" si="705"/>
        <v>596.52028089298813</v>
      </c>
      <c r="AI110" s="11">
        <f t="shared" ref="AI110:AJ110" si="706">+AI19/AI108*1000</f>
        <v>564.53037992890461</v>
      </c>
      <c r="AJ110" s="11">
        <f t="shared" si="706"/>
        <v>602.19269804406508</v>
      </c>
      <c r="AR110" s="11">
        <f t="shared" ref="AR110:BB110" si="707">+AR19/AR108*1000</f>
        <v>1192.3871943534157</v>
      </c>
      <c r="AS110" s="11">
        <f t="shared" si="707"/>
        <v>1201.6803278688524</v>
      </c>
      <c r="AT110" s="11">
        <f t="shared" si="707"/>
        <v>1167.4931468876089</v>
      </c>
      <c r="AU110" s="11">
        <f t="shared" si="707"/>
        <v>854.77432650712012</v>
      </c>
      <c r="AV110" s="11">
        <f t="shared" si="707"/>
        <v>1162.555490409582</v>
      </c>
      <c r="AW110" s="11">
        <f t="shared" si="707"/>
        <v>1231.3619402985075</v>
      </c>
      <c r="AX110" s="11">
        <f t="shared" si="707"/>
        <v>1213.1394182547645</v>
      </c>
      <c r="AY110" s="11">
        <f t="shared" si="707"/>
        <v>1252.8555368964512</v>
      </c>
      <c r="AZ110" s="11">
        <f t="shared" si="707"/>
        <v>1383.7847959056298</v>
      </c>
      <c r="BA110" s="11">
        <f t="shared" si="707"/>
        <v>1385.2142835447651</v>
      </c>
      <c r="BB110" s="11">
        <f t="shared" si="707"/>
        <v>1361.2982447287195</v>
      </c>
      <c r="BC110" s="11">
        <f t="shared" ref="BC110:BH110" si="708">+BC19/BC108*1000</f>
        <v>1349.0439834147567</v>
      </c>
      <c r="BD110" s="11">
        <f t="shared" si="708"/>
        <v>1646.2428115015975</v>
      </c>
      <c r="BE110" s="11">
        <f t="shared" si="708"/>
        <v>1486.779440058034</v>
      </c>
      <c r="BF110" s="11">
        <f t="shared" si="708"/>
        <v>1611.8315147002534</v>
      </c>
      <c r="BG110" s="11">
        <f t="shared" si="708"/>
        <v>1925.3127097107779</v>
      </c>
      <c r="BH110" s="11">
        <f t="shared" si="708"/>
        <v>2111.0785033015409</v>
      </c>
    </row>
    <row r="111" spans="2:60" x14ac:dyDescent="0.2">
      <c r="AS111" s="5">
        <f t="shared" ref="AS111:AT111" si="709">+AS110/AR110-1</f>
        <v>7.7937213343488576E-3</v>
      </c>
      <c r="AT111" s="5">
        <f t="shared" si="709"/>
        <v>-2.8449480438673347E-2</v>
      </c>
      <c r="AU111" s="5">
        <f t="shared" ref="AU111" si="710">+AU110/AT110-1</f>
        <v>-0.26785495162362039</v>
      </c>
      <c r="AV111" s="5">
        <f t="shared" ref="AV111" si="711">+AV110/AU110-1</f>
        <v>0.36007300916506657</v>
      </c>
      <c r="AW111" s="5">
        <f t="shared" ref="AW111:BA111" si="712">+AW110/AV110-1</f>
        <v>5.9185518847521212E-2</v>
      </c>
      <c r="AX111" s="5">
        <f t="shared" si="712"/>
        <v>-1.479867246776001E-2</v>
      </c>
      <c r="AY111" s="5">
        <f t="shared" si="712"/>
        <v>3.2738297053130694E-2</v>
      </c>
      <c r="AZ111" s="5">
        <f t="shared" si="712"/>
        <v>0.10450467364618432</v>
      </c>
      <c r="BA111" s="5">
        <f t="shared" si="712"/>
        <v>1.0330274211458601E-3</v>
      </c>
      <c r="BB111" s="5">
        <f t="shared" ref="BB111" si="713">+BB110/BA110-1</f>
        <v>-1.7265226831796987E-2</v>
      </c>
      <c r="BC111" s="5">
        <f t="shared" ref="BC111" si="714">+BC110/BB110-1</f>
        <v>-9.0018931276921732E-3</v>
      </c>
      <c r="BD111" s="5">
        <f>+BD110/BC110-1</f>
        <v>0.22030329013777505</v>
      </c>
      <c r="BE111" s="5">
        <f>+BE110/BD110-1</f>
        <v>-9.6865037362326434E-2</v>
      </c>
      <c r="BF111" s="5">
        <f>+BF110/BE110-1</f>
        <v>8.4109365029515271E-2</v>
      </c>
      <c r="BG111" s="5">
        <f>+BG110/BF110-1</f>
        <v>0.19448757028976527</v>
      </c>
      <c r="BH111" s="5">
        <f>+BH110/BG110-1</f>
        <v>9.6486037127272217E-2</v>
      </c>
    </row>
    <row r="112" spans="2:60" x14ac:dyDescent="0.2">
      <c r="BC112" s="5"/>
      <c r="BD112" s="5"/>
      <c r="BE112" s="5"/>
      <c r="BF112" s="5"/>
      <c r="BG112" s="5"/>
      <c r="BH112" s="5"/>
    </row>
    <row r="113" spans="2:62" x14ac:dyDescent="0.2">
      <c r="B113" s="3" t="s">
        <v>272</v>
      </c>
      <c r="C113" s="11"/>
      <c r="E113" s="11"/>
      <c r="F113" s="11">
        <f t="shared" ref="F113:J113" si="715">F72-F59</f>
        <v>157520</v>
      </c>
      <c r="G113" s="11">
        <f t="shared" si="715"/>
        <v>163466</v>
      </c>
      <c r="H113" s="11">
        <f t="shared" si="715"/>
        <v>172290</v>
      </c>
      <c r="I113" s="11">
        <f t="shared" si="715"/>
        <v>175153</v>
      </c>
      <c r="J113" s="11">
        <f t="shared" si="715"/>
        <v>178839</v>
      </c>
      <c r="K113" s="11">
        <f t="shared" ref="K113:N113" si="716">K72-K59</f>
        <v>181085</v>
      </c>
      <c r="L113" s="11">
        <f t="shared" si="716"/>
        <v>184801</v>
      </c>
      <c r="M113" s="11">
        <f t="shared" si="716"/>
        <v>190530</v>
      </c>
      <c r="N113" s="11">
        <f t="shared" si="716"/>
        <v>199924</v>
      </c>
      <c r="O113" s="11">
        <f t="shared" ref="O113:R113" si="717">O72-O59</f>
        <v>205849</v>
      </c>
      <c r="P113" s="11">
        <f t="shared" si="717"/>
        <v>213533</v>
      </c>
      <c r="Q113" s="11">
        <f t="shared" si="717"/>
        <v>220395</v>
      </c>
      <c r="R113" s="11">
        <f t="shared" si="717"/>
        <v>227262</v>
      </c>
      <c r="S113" s="11">
        <f t="shared" ref="S113:X113" si="718">S72-S59</f>
        <v>229681</v>
      </c>
      <c r="T113" s="11">
        <f t="shared" si="718"/>
        <v>230093</v>
      </c>
      <c r="U113" s="11">
        <f t="shared" si="718"/>
        <v>222600</v>
      </c>
      <c r="V113" s="11">
        <f t="shared" si="718"/>
        <v>225100</v>
      </c>
      <c r="W113" s="11">
        <f t="shared" si="718"/>
        <v>229932</v>
      </c>
      <c r="X113" s="11">
        <f t="shared" si="718"/>
        <v>235965</v>
      </c>
      <c r="Y113" s="11">
        <f t="shared" ref="Y113:AA113" si="719">Y72-Y59</f>
        <v>242223</v>
      </c>
      <c r="Z113" s="11">
        <f t="shared" si="719"/>
        <v>254181</v>
      </c>
      <c r="AA113" s="11">
        <f t="shared" si="719"/>
        <v>263661</v>
      </c>
      <c r="AB113" s="11">
        <f t="shared" ref="AB113:AH113" si="720">AB72-AB59</f>
        <v>271568</v>
      </c>
      <c r="AC113" s="11">
        <f t="shared" si="720"/>
        <v>282184</v>
      </c>
      <c r="AD113" s="11">
        <f t="shared" si="720"/>
        <v>293199</v>
      </c>
      <c r="AE113" s="11">
        <f t="shared" si="720"/>
        <v>313094</v>
      </c>
      <c r="AF113" s="11">
        <f t="shared" si="720"/>
        <v>330581</v>
      </c>
      <c r="AG113" s="11">
        <f t="shared" si="720"/>
        <v>353598</v>
      </c>
      <c r="AH113" s="11">
        <f t="shared" si="720"/>
        <v>381885</v>
      </c>
      <c r="AI113" s="11">
        <f>AI72-AI59</f>
        <v>411528</v>
      </c>
      <c r="AJ113" s="11">
        <f>AJ72-AJ59</f>
        <v>573547</v>
      </c>
      <c r="AP113" s="3"/>
      <c r="AQ113" s="11">
        <f t="shared" ref="AQ113:AT113" si="721">AQ72-AQ59</f>
        <v>22402.317999999999</v>
      </c>
      <c r="AR113" s="11">
        <f t="shared" si="721"/>
        <v>30326.496999999999</v>
      </c>
      <c r="AS113" s="11">
        <f t="shared" si="721"/>
        <v>38941</v>
      </c>
      <c r="AT113" s="11">
        <f t="shared" si="721"/>
        <v>49221</v>
      </c>
      <c r="AU113" s="11">
        <f t="shared" ref="AU113:BH113" si="722">AU72-AU59</f>
        <v>53705</v>
      </c>
      <c r="AV113" s="11">
        <f t="shared" si="722"/>
        <v>69751</v>
      </c>
      <c r="AW113" s="11">
        <f t="shared" si="722"/>
        <v>83654</v>
      </c>
      <c r="AX113" s="11">
        <f t="shared" si="722"/>
        <v>100615</v>
      </c>
      <c r="AY113" s="11">
        <f t="shared" si="722"/>
        <v>119261</v>
      </c>
      <c r="AZ113" s="11">
        <f t="shared" si="722"/>
        <v>133063</v>
      </c>
      <c r="BA113" s="11">
        <f t="shared" si="722"/>
        <v>157520</v>
      </c>
      <c r="BB113" s="11">
        <f t="shared" si="722"/>
        <v>178839</v>
      </c>
      <c r="BC113" s="11">
        <f t="shared" si="722"/>
        <v>199924</v>
      </c>
      <c r="BD113" s="11">
        <f t="shared" si="722"/>
        <v>227262</v>
      </c>
      <c r="BE113" s="11">
        <f t="shared" si="722"/>
        <v>225100</v>
      </c>
      <c r="BF113" s="11">
        <f t="shared" si="722"/>
        <v>254181</v>
      </c>
      <c r="BG113" s="11">
        <f t="shared" si="722"/>
        <v>293199</v>
      </c>
      <c r="BH113" s="11">
        <f t="shared" si="722"/>
        <v>381885</v>
      </c>
    </row>
    <row r="114" spans="2:62" x14ac:dyDescent="0.2">
      <c r="S114" s="15">
        <f t="shared" ref="S114" si="723">+S113/O113-1</f>
        <v>0.11577418398923478</v>
      </c>
      <c r="T114" s="15">
        <f t="shared" ref="T114" si="724">+T113/P113-1</f>
        <v>7.7552415785850481E-2</v>
      </c>
      <c r="U114" s="15">
        <f t="shared" ref="U114" si="725">+U113/Q113-1</f>
        <v>1.0004764173416003E-2</v>
      </c>
      <c r="V114" s="15">
        <f t="shared" ref="V114" si="726">+V113/R113-1</f>
        <v>-9.5132490253539981E-3</v>
      </c>
      <c r="W114" s="15">
        <f t="shared" ref="W114" si="727">+W113/S113-1</f>
        <v>1.0928200417099632E-3</v>
      </c>
      <c r="X114" s="15">
        <f t="shared" ref="X114" si="728">+X113/T113-1</f>
        <v>2.5520115779271935E-2</v>
      </c>
      <c r="Y114" s="15">
        <f t="shared" ref="Y114" si="729">+Y113/U113-1</f>
        <v>8.8153638814016277E-2</v>
      </c>
      <c r="Z114" s="15">
        <f t="shared" ref="Z114" si="730">+Z113/V113-1</f>
        <v>0.12919147045757451</v>
      </c>
      <c r="AA114" s="15">
        <f t="shared" ref="AA114" si="731">+AA113/W113-1</f>
        <v>0.14669119565784672</v>
      </c>
      <c r="AB114" s="15">
        <f t="shared" ref="AB114" si="732">+AB113/X113-1</f>
        <v>0.15088254614031738</v>
      </c>
      <c r="AC114" s="15">
        <f t="shared" ref="AC114" si="733">+AC113/Y113-1</f>
        <v>0.16497607576489437</v>
      </c>
      <c r="AD114" s="15">
        <f t="shared" ref="AD114:AH114" si="734">+AD113/Z113-1</f>
        <v>0.15350478595961148</v>
      </c>
      <c r="AE114" s="15">
        <f t="shared" si="734"/>
        <v>0.18748696242523533</v>
      </c>
      <c r="AF114" s="15">
        <f t="shared" si="734"/>
        <v>0.21730468980144946</v>
      </c>
      <c r="AG114" s="15">
        <f t="shared" si="734"/>
        <v>0.25307600714427458</v>
      </c>
      <c r="AH114" s="15">
        <f t="shared" si="734"/>
        <v>0.30247715715265056</v>
      </c>
      <c r="AI114" s="15">
        <f>+AI113/AE113-1</f>
        <v>0.31439120519716113</v>
      </c>
      <c r="AJ114" s="15">
        <f>+AJ113/AF113-1</f>
        <v>0.73496661937618923</v>
      </c>
      <c r="AQ114" s="5"/>
      <c r="AR114" s="5">
        <f>+AR113/AQ113-1</f>
        <v>0.35372138722430413</v>
      </c>
      <c r="AS114" s="5">
        <f t="shared" ref="AS114" si="735">+AS113/AR113-1</f>
        <v>0.28405862371773449</v>
      </c>
      <c r="AT114" s="5">
        <f t="shared" ref="AT114" si="736">+AT113/AS113-1</f>
        <v>0.26398911173313477</v>
      </c>
      <c r="AU114" s="5">
        <f t="shared" ref="AU114" si="737">+AU113/AT113-1</f>
        <v>9.1099327522805362E-2</v>
      </c>
      <c r="AV114" s="5">
        <f t="shared" ref="AV114:AY114" si="738">+AV113/AU113-1</f>
        <v>0.29878037426682802</v>
      </c>
      <c r="AW114" s="5">
        <f t="shared" si="738"/>
        <v>0.1993233071927285</v>
      </c>
      <c r="AX114" s="5">
        <f t="shared" si="738"/>
        <v>0.20275181103115214</v>
      </c>
      <c r="AY114" s="5">
        <f t="shared" si="738"/>
        <v>0.18532028027630076</v>
      </c>
      <c r="AZ114" s="5">
        <f>+AZ113/AY113-1</f>
        <v>0.11572936668315714</v>
      </c>
      <c r="BA114" s="5">
        <f>+BA113/AZ113-1</f>
        <v>0.18380015481388523</v>
      </c>
      <c r="BB114" s="5">
        <f t="shared" ref="BB114:BH114" si="739">+BB113/BA113-1</f>
        <v>0.13534154393092934</v>
      </c>
      <c r="BC114" s="5">
        <f t="shared" si="739"/>
        <v>0.11789933962949917</v>
      </c>
      <c r="BD114" s="5">
        <f t="shared" si="739"/>
        <v>0.13674196194553923</v>
      </c>
      <c r="BE114" s="5">
        <f t="shared" si="739"/>
        <v>-9.5132490253539981E-3</v>
      </c>
      <c r="BF114" s="5">
        <f t="shared" si="739"/>
        <v>0.12919147045757451</v>
      </c>
      <c r="BG114" s="5">
        <f t="shared" si="739"/>
        <v>0.15350478595961148</v>
      </c>
      <c r="BH114" s="5">
        <f t="shared" si="739"/>
        <v>0.30247715715265056</v>
      </c>
    </row>
    <row r="115" spans="2:62" x14ac:dyDescent="0.2"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spans="2:62" x14ac:dyDescent="0.2">
      <c r="B116" s="3" t="s">
        <v>270</v>
      </c>
      <c r="AX116">
        <v>37.94</v>
      </c>
      <c r="AY116">
        <v>38.590000000000003</v>
      </c>
      <c r="AZ116">
        <v>52.32</v>
      </c>
      <c r="BA116">
        <v>51.78</v>
      </c>
      <c r="BB116">
        <v>66.849999999999994</v>
      </c>
      <c r="BC116">
        <v>87.59</v>
      </c>
      <c r="BD116">
        <v>144.68</v>
      </c>
      <c r="BE116">
        <v>88.73</v>
      </c>
    </row>
    <row r="117" spans="2:62" x14ac:dyDescent="0.2">
      <c r="BE117" s="5">
        <f>BE116/AX116-1</f>
        <v>1.3386926726410122</v>
      </c>
    </row>
    <row r="119" spans="2:62" x14ac:dyDescent="0.2">
      <c r="B119" t="s">
        <v>271</v>
      </c>
      <c r="AX119" s="3">
        <v>5007.41</v>
      </c>
      <c r="AY119" s="3">
        <v>5383.12</v>
      </c>
      <c r="AZ119" s="3">
        <v>6903.39</v>
      </c>
      <c r="BA119" s="3">
        <v>6635.28</v>
      </c>
      <c r="BB119" s="3">
        <v>8972.6</v>
      </c>
      <c r="BC119" s="3">
        <v>12888.28</v>
      </c>
      <c r="BD119" s="3">
        <v>15644.97</v>
      </c>
      <c r="BE119" s="3">
        <v>10466.48</v>
      </c>
    </row>
    <row r="120" spans="2:62" x14ac:dyDescent="0.2">
      <c r="BE120" s="5">
        <f>BE119/AX119-1</f>
        <v>1.0901983260807482</v>
      </c>
    </row>
    <row r="123" spans="2:62" x14ac:dyDescent="0.2"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2:62" x14ac:dyDescent="0.2"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2:62" x14ac:dyDescent="0.2"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</sheetData>
  <hyperlinks>
    <hyperlink ref="A1" location="Main!A1" display="Main" xr:uid="{E44988C7-574D-4338-8D92-18114C17CDB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2022-07-14T13:49:22Z</dcterms:created>
  <dcterms:modified xsi:type="dcterms:W3CDTF">2026-09-06T12:32:03Z</dcterms:modified>
</cp:coreProperties>
</file>